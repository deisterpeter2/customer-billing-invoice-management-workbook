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3bc9359ea40864/Documents/job/"/>
    </mc:Choice>
  </mc:AlternateContent>
  <xr:revisionPtr revIDLastSave="1554" documentId="8_{C73B6174-7659-43D9-B272-0C0DFE195B93}" xr6:coauthVersionLast="47" xr6:coauthVersionMax="47" xr10:uidLastSave="{87D33917-EFE9-41D8-B925-7D768E76D906}"/>
  <bookViews>
    <workbookView xWindow="-108" yWindow="-108" windowWidth="23256" windowHeight="12456" tabRatio="762" xr2:uid="{77AD18A2-AFBA-4BD7-A538-9169B2F8077C}"/>
  </bookViews>
  <sheets>
    <sheet name="Instructions" sheetId="10" r:id="rId1"/>
    <sheet name="Dashboard" sheetId="7" r:id="rId2"/>
    <sheet name="Purchase Orders" sheetId="9" r:id="rId3"/>
    <sheet name="Invoices" sheetId="3" r:id="rId4"/>
    <sheet name="Payments" sheetId="4" r:id="rId5"/>
    <sheet name="Vendors" sheetId="1" r:id="rId6"/>
    <sheet name="Customer Invoice" sheetId="5" r:id="rId7"/>
  </sheets>
  <definedNames>
    <definedName name="_xlnm._FilterDatabase" localSheetId="4" hidden="1">Payments!$A$1:$J$159</definedName>
    <definedName name="DUEDATE">#REF!</definedName>
    <definedName name="INVOICENUMBER">Table1[[#All],[Invoice Number]]</definedName>
    <definedName name="PONUMBER">Table2[[#All],[PO Number]]</definedName>
    <definedName name="POVENDORNAME">Table2[[#All],[Vendor Name]]</definedName>
    <definedName name="VendorName">Vendors!$B$1:$B$1048568</definedName>
  </definedNames>
  <calcPr calcId="191029"/>
  <pivotCaches>
    <pivotCache cacheId="0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9" l="1"/>
  <c r="E19" i="3"/>
  <c r="F19" i="3" s="1"/>
  <c r="G19" i="3" s="1"/>
  <c r="H19" i="3" s="1"/>
  <c r="H12" i="9"/>
  <c r="F12" i="5"/>
  <c r="J31" i="3"/>
  <c r="M31" i="3" s="1"/>
  <c r="I31" i="3"/>
  <c r="H31" i="3"/>
  <c r="G31" i="3"/>
  <c r="E31" i="3"/>
  <c r="F31" i="3" s="1"/>
  <c r="J30" i="3"/>
  <c r="M30" i="3" s="1"/>
  <c r="I30" i="3"/>
  <c r="H30" i="3"/>
  <c r="G30" i="3"/>
  <c r="E30" i="3"/>
  <c r="F30" i="3" s="1"/>
  <c r="J29" i="3"/>
  <c r="M29" i="3" s="1"/>
  <c r="I29" i="3"/>
  <c r="H29" i="3"/>
  <c r="G29" i="3"/>
  <c r="E29" i="3"/>
  <c r="F29" i="3" s="1"/>
  <c r="L28" i="3"/>
  <c r="J28" i="3"/>
  <c r="M28" i="3" s="1"/>
  <c r="I28" i="3"/>
  <c r="H28" i="3"/>
  <c r="G28" i="3"/>
  <c r="E28" i="3"/>
  <c r="F28" i="3" s="1"/>
  <c r="J27" i="3"/>
  <c r="M27" i="3" s="1"/>
  <c r="I27" i="3"/>
  <c r="H27" i="3"/>
  <c r="G27" i="3"/>
  <c r="E27" i="3"/>
  <c r="F27" i="3" s="1"/>
  <c r="J26" i="3"/>
  <c r="M26" i="3" s="1"/>
  <c r="I26" i="3"/>
  <c r="H26" i="3"/>
  <c r="G26" i="3"/>
  <c r="E26" i="3"/>
  <c r="F26" i="3" s="1"/>
  <c r="J25" i="3"/>
  <c r="M25" i="3" s="1"/>
  <c r="I25" i="3"/>
  <c r="H25" i="3"/>
  <c r="G25" i="3"/>
  <c r="E25" i="3"/>
  <c r="F25" i="3" s="1"/>
  <c r="J24" i="3"/>
  <c r="K24" i="3" s="1"/>
  <c r="I24" i="3"/>
  <c r="H24" i="3"/>
  <c r="G24" i="3"/>
  <c r="E24" i="3"/>
  <c r="F24" i="3" s="1"/>
  <c r="J23" i="3"/>
  <c r="M23" i="3" s="1"/>
  <c r="I23" i="3"/>
  <c r="H23" i="3"/>
  <c r="G23" i="3"/>
  <c r="E23" i="3"/>
  <c r="F23" i="3" s="1"/>
  <c r="J22" i="3"/>
  <c r="M22" i="3" s="1"/>
  <c r="I22" i="3"/>
  <c r="H22" i="3"/>
  <c r="G22" i="3"/>
  <c r="E22" i="3"/>
  <c r="F22" i="3" s="1"/>
  <c r="J21" i="3"/>
  <c r="M21" i="3" s="1"/>
  <c r="I21" i="3"/>
  <c r="H21" i="3"/>
  <c r="G21" i="3"/>
  <c r="E21" i="3"/>
  <c r="F21" i="3" s="1"/>
  <c r="I20" i="3"/>
  <c r="J20" i="3" s="1"/>
  <c r="G20" i="3"/>
  <c r="H20" i="3" s="1"/>
  <c r="E20" i="3"/>
  <c r="F20" i="3" s="1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D12" i="4"/>
  <c r="I19" i="3"/>
  <c r="J19" i="3" s="1"/>
  <c r="L19" i="3" s="1"/>
  <c r="J19" i="9"/>
  <c r="J18" i="9"/>
  <c r="J17" i="9"/>
  <c r="J16" i="9"/>
  <c r="J15" i="9"/>
  <c r="J14" i="9"/>
  <c r="I20" i="9"/>
  <c r="I19" i="9"/>
  <c r="I18" i="9"/>
  <c r="I17" i="9"/>
  <c r="I16" i="9"/>
  <c r="I15" i="9"/>
  <c r="I14" i="9"/>
  <c r="I12" i="9"/>
  <c r="J12" i="9" s="1"/>
  <c r="H21" i="9"/>
  <c r="H20" i="9"/>
  <c r="H19" i="9"/>
  <c r="H18" i="9"/>
  <c r="H17" i="9"/>
  <c r="H16" i="9"/>
  <c r="H15" i="9"/>
  <c r="H14" i="9"/>
  <c r="H13" i="9"/>
  <c r="I2" i="3"/>
  <c r="J2" i="3" s="1"/>
  <c r="L2" i="3" s="1"/>
  <c r="B34" i="7"/>
  <c r="B33" i="7"/>
  <c r="B32" i="7"/>
  <c r="B31" i="7"/>
  <c r="B30" i="7"/>
  <c r="B29" i="7"/>
  <c r="B28" i="7"/>
  <c r="B27" i="7"/>
  <c r="B26" i="7"/>
  <c r="B24" i="7"/>
  <c r="B23" i="7"/>
  <c r="B25" i="7"/>
  <c r="D7" i="7"/>
  <c r="A4" i="7"/>
  <c r="E16" i="5"/>
  <c r="B10" i="5"/>
  <c r="F6" i="5"/>
  <c r="D2" i="9"/>
  <c r="I7" i="3"/>
  <c r="J7" i="3" s="1"/>
  <c r="L7" i="3" s="1"/>
  <c r="I6" i="3"/>
  <c r="J6" i="3" s="1"/>
  <c r="L6" i="3" s="1"/>
  <c r="I5" i="3"/>
  <c r="J5" i="3" s="1"/>
  <c r="M5" i="3" s="1"/>
  <c r="I4" i="3"/>
  <c r="J4" i="3" s="1"/>
  <c r="L4" i="3" s="1"/>
  <c r="I15" i="3"/>
  <c r="J15" i="3" s="1"/>
  <c r="L15" i="3" s="1"/>
  <c r="I8" i="3"/>
  <c r="J8" i="3" s="1"/>
  <c r="L8" i="3" s="1"/>
  <c r="I9" i="3"/>
  <c r="J9" i="3" s="1"/>
  <c r="L9" i="3" s="1"/>
  <c r="I16" i="3"/>
  <c r="J16" i="3" s="1"/>
  <c r="L16" i="3" s="1"/>
  <c r="I10" i="3"/>
  <c r="J10" i="3" s="1"/>
  <c r="L10" i="3" s="1"/>
  <c r="I17" i="3"/>
  <c r="J17" i="3" s="1"/>
  <c r="L17" i="3" s="1"/>
  <c r="I11" i="3"/>
  <c r="J11" i="3" s="1"/>
  <c r="L11" i="3" s="1"/>
  <c r="I3" i="3"/>
  <c r="J3" i="3" s="1"/>
  <c r="L3" i="3" s="1"/>
  <c r="I12" i="3"/>
  <c r="J12" i="3" s="1"/>
  <c r="L12" i="3" s="1"/>
  <c r="I18" i="3"/>
  <c r="J18" i="3" s="1"/>
  <c r="M18" i="3" s="1"/>
  <c r="I13" i="3"/>
  <c r="J13" i="3" s="1"/>
  <c r="K13" i="3" s="1"/>
  <c r="I14" i="3"/>
  <c r="J14" i="3" s="1"/>
  <c r="L14" i="3" s="1"/>
  <c r="D29" i="9"/>
  <c r="D28" i="9"/>
  <c r="D27" i="9"/>
  <c r="D26" i="9"/>
  <c r="D25" i="9"/>
  <c r="D24" i="9"/>
  <c r="D23" i="9"/>
  <c r="D22" i="9"/>
  <c r="D21" i="9"/>
  <c r="D20" i="9"/>
  <c r="D19" i="9"/>
  <c r="D18" i="9"/>
  <c r="D16" i="9"/>
  <c r="D15" i="9"/>
  <c r="D14" i="9"/>
  <c r="D12" i="9"/>
  <c r="D11" i="9"/>
  <c r="D10" i="9"/>
  <c r="D9" i="9"/>
  <c r="D8" i="9"/>
  <c r="D7" i="9"/>
  <c r="D5" i="9"/>
  <c r="D4" i="9"/>
  <c r="D3" i="9"/>
  <c r="D2" i="4"/>
  <c r="D5" i="4"/>
  <c r="D3" i="4"/>
  <c r="D4" i="4"/>
  <c r="D11" i="4"/>
  <c r="D6" i="4"/>
  <c r="D7" i="4"/>
  <c r="D8" i="4"/>
  <c r="D9" i="4"/>
  <c r="D10" i="4"/>
  <c r="E18" i="3"/>
  <c r="F18" i="3" s="1"/>
  <c r="G18" i="3" s="1"/>
  <c r="H18" i="3" s="1"/>
  <c r="E7" i="3"/>
  <c r="E5" i="3"/>
  <c r="E8" i="3"/>
  <c r="F8" i="3" s="1"/>
  <c r="F8" i="5" s="1"/>
  <c r="E9" i="3"/>
  <c r="F9" i="3" s="1"/>
  <c r="G9" i="3" s="1"/>
  <c r="H9" i="3" s="1"/>
  <c r="E10" i="3"/>
  <c r="F10" i="3" s="1"/>
  <c r="G10" i="3" s="1"/>
  <c r="H10" i="3" s="1"/>
  <c r="E11" i="3"/>
  <c r="F11" i="3" s="1"/>
  <c r="G11" i="3" s="1"/>
  <c r="H11" i="3" s="1"/>
  <c r="E12" i="3"/>
  <c r="F12" i="3" s="1"/>
  <c r="G12" i="3" s="1"/>
  <c r="H12" i="3" s="1"/>
  <c r="E13" i="3"/>
  <c r="F13" i="3" s="1"/>
  <c r="G13" i="3" s="1"/>
  <c r="H13" i="3" s="1"/>
  <c r="E14" i="3"/>
  <c r="F14" i="3" s="1"/>
  <c r="G14" i="3" s="1"/>
  <c r="H14" i="3" s="1"/>
  <c r="E6" i="3"/>
  <c r="E4" i="3"/>
  <c r="E15" i="3"/>
  <c r="F15" i="3" s="1"/>
  <c r="G15" i="3" s="1"/>
  <c r="H15" i="3" s="1"/>
  <c r="E16" i="3"/>
  <c r="F16" i="3" s="1"/>
  <c r="G16" i="3" s="1"/>
  <c r="H16" i="3" s="1"/>
  <c r="E17" i="3"/>
  <c r="F17" i="3" s="1"/>
  <c r="G17" i="3" s="1"/>
  <c r="H17" i="3" s="1"/>
  <c r="E3" i="3"/>
  <c r="F3" i="3" s="1"/>
  <c r="G3" i="3" s="1"/>
  <c r="H3" i="3" s="1"/>
  <c r="E2" i="3"/>
  <c r="E21" i="5"/>
  <c r="E20" i="5"/>
  <c r="E19" i="5"/>
  <c r="E18" i="5"/>
  <c r="E17" i="5"/>
  <c r="G26" i="5" s="1"/>
  <c r="M11" i="3" l="1"/>
  <c r="K26" i="3"/>
  <c r="M3" i="3"/>
  <c r="L21" i="3"/>
  <c r="M15" i="3"/>
  <c r="K28" i="3"/>
  <c r="L20" i="3"/>
  <c r="M20" i="3"/>
  <c r="K20" i="3"/>
  <c r="F2" i="3"/>
  <c r="G2" i="3" s="1"/>
  <c r="H2" i="3" s="1"/>
  <c r="M2" i="3" s="1"/>
  <c r="L24" i="3"/>
  <c r="K25" i="3"/>
  <c r="M24" i="3"/>
  <c r="L25" i="3"/>
  <c r="K29" i="3"/>
  <c r="K30" i="3"/>
  <c r="L29" i="3"/>
  <c r="K21" i="3"/>
  <c r="K22" i="3"/>
  <c r="L22" i="3"/>
  <c r="K23" i="3"/>
  <c r="L26" i="3"/>
  <c r="K27" i="3"/>
  <c r="L30" i="3"/>
  <c r="K31" i="3"/>
  <c r="L23" i="3"/>
  <c r="L27" i="3"/>
  <c r="L31" i="3"/>
  <c r="M17" i="3"/>
  <c r="M10" i="3"/>
  <c r="M16" i="3"/>
  <c r="E12" i="4"/>
  <c r="F12" i="4"/>
  <c r="M13" i="3"/>
  <c r="M9" i="3"/>
  <c r="M12" i="3"/>
  <c r="L13" i="3"/>
  <c r="K5" i="3"/>
  <c r="K9" i="3"/>
  <c r="L5" i="3"/>
  <c r="K17" i="3"/>
  <c r="M14" i="3"/>
  <c r="K2" i="3"/>
  <c r="K6" i="3"/>
  <c r="K10" i="3"/>
  <c r="K14" i="3"/>
  <c r="K18" i="3"/>
  <c r="L18" i="3"/>
  <c r="M19" i="3"/>
  <c r="K3" i="3"/>
  <c r="K7" i="3"/>
  <c r="K11" i="3"/>
  <c r="K15" i="3"/>
  <c r="K19" i="3"/>
  <c r="K4" i="3"/>
  <c r="K8" i="3"/>
  <c r="K12" i="3"/>
  <c r="K16" i="3"/>
  <c r="G8" i="3"/>
  <c r="H8" i="9"/>
  <c r="I8" i="9" s="1"/>
  <c r="J8" i="9" s="1"/>
  <c r="H11" i="9"/>
  <c r="I11" i="9" s="1"/>
  <c r="J11" i="9" s="1"/>
  <c r="H4" i="9"/>
  <c r="I4" i="9" s="1"/>
  <c r="J4" i="9" s="1"/>
  <c r="H5" i="9"/>
  <c r="I5" i="9" s="1"/>
  <c r="J5" i="9" s="1"/>
  <c r="H9" i="9"/>
  <c r="I9" i="9" s="1"/>
  <c r="J9" i="9" s="1"/>
  <c r="H2" i="9"/>
  <c r="I2" i="9" s="1"/>
  <c r="J2" i="9" s="1"/>
  <c r="H6" i="9"/>
  <c r="I6" i="9" s="1"/>
  <c r="J6" i="9" s="1"/>
  <c r="H10" i="9"/>
  <c r="I10" i="9" s="1"/>
  <c r="J10" i="9" s="1"/>
  <c r="H3" i="9"/>
  <c r="I3" i="9" s="1"/>
  <c r="J3" i="9" s="1"/>
  <c r="H7" i="9"/>
  <c r="I7" i="9" s="1"/>
  <c r="J7" i="9" s="1"/>
  <c r="A7" i="7"/>
  <c r="D4" i="7"/>
  <c r="B8" i="5"/>
  <c r="G24" i="5"/>
  <c r="G27" i="5" s="1"/>
  <c r="E3" i="4"/>
  <c r="F7" i="4"/>
  <c r="F8" i="4"/>
  <c r="F6" i="3"/>
  <c r="F7" i="3"/>
  <c r="G7" i="3" s="1"/>
  <c r="H7" i="3" s="1"/>
  <c r="M7" i="3" s="1"/>
  <c r="F2" i="4"/>
  <c r="F5" i="3"/>
  <c r="F4" i="3"/>
  <c r="G4" i="3" s="1"/>
  <c r="H4" i="3" s="1"/>
  <c r="M4" i="3" s="1"/>
  <c r="F10" i="4"/>
  <c r="F9" i="4"/>
  <c r="F11" i="4"/>
  <c r="E9" i="4"/>
  <c r="E7" i="4"/>
  <c r="E11" i="4"/>
  <c r="E4" i="4"/>
  <c r="E10" i="4"/>
  <c r="E6" i="4"/>
  <c r="E2" i="4"/>
  <c r="E8" i="4"/>
  <c r="E5" i="4"/>
  <c r="H8" i="3" l="1"/>
  <c r="F10" i="5"/>
  <c r="F4" i="4"/>
  <c r="G5" i="3"/>
  <c r="H5" i="3" s="1"/>
  <c r="F6" i="4"/>
  <c r="G6" i="3"/>
  <c r="H6" i="3" s="1"/>
  <c r="M6" i="3" s="1"/>
  <c r="F7" i="7"/>
  <c r="F5" i="4"/>
  <c r="F3" i="4"/>
  <c r="B12" i="5" l="1"/>
  <c r="M8" i="3"/>
  <c r="B11" i="7" s="1"/>
  <c r="F4" i="7"/>
  <c r="B15" i="7" l="1"/>
  <c r="B13" i="7"/>
  <c r="B12" i="7"/>
  <c r="B14" i="7"/>
</calcChain>
</file>

<file path=xl/sharedStrings.xml><?xml version="1.0" encoding="utf-8"?>
<sst xmlns="http://schemas.openxmlformats.org/spreadsheetml/2006/main" count="338" uniqueCount="209">
  <si>
    <t>Vendor ID</t>
  </si>
  <si>
    <t>Vendor Name</t>
  </si>
  <si>
    <t>Category</t>
  </si>
  <si>
    <t>Contact Name</t>
  </si>
  <si>
    <t>Phone</t>
  </si>
  <si>
    <t>Email</t>
  </si>
  <si>
    <t>Preferred Vendor</t>
  </si>
  <si>
    <t>Tax ID</t>
  </si>
  <si>
    <t>Active</t>
  </si>
  <si>
    <t>Notes</t>
  </si>
  <si>
    <t>V001</t>
  </si>
  <si>
    <t>Office Supplies</t>
  </si>
  <si>
    <t>(770) 555-0111</t>
  </si>
  <si>
    <t>Yes</t>
  </si>
  <si>
    <t>58-1001001</t>
  </si>
  <si>
    <t>V002</t>
  </si>
  <si>
    <t>Manufacturing Parts</t>
  </si>
  <si>
    <t>(678) 555-0112</t>
  </si>
  <si>
    <t>58-1001002</t>
  </si>
  <si>
    <t>V003</t>
  </si>
  <si>
    <t>Packaging</t>
  </si>
  <si>
    <t>(706) 555-0113</t>
  </si>
  <si>
    <t>58-1001003</t>
  </si>
  <si>
    <t>V004</t>
  </si>
  <si>
    <t>IT Services</t>
  </si>
  <si>
    <t>(470) 555-0114</t>
  </si>
  <si>
    <t>No</t>
  </si>
  <si>
    <t>58-1001004</t>
  </si>
  <si>
    <t>PO Number</t>
  </si>
  <si>
    <t>PO Date</t>
  </si>
  <si>
    <t>Buyer</t>
  </si>
  <si>
    <t>Description</t>
  </si>
  <si>
    <t>PO Amount</t>
  </si>
  <si>
    <t>Received Amount</t>
  </si>
  <si>
    <t>Status</t>
  </si>
  <si>
    <t>PO-2026-1001</t>
  </si>
  <si>
    <t>Main Company</t>
  </si>
  <si>
    <t>Jordan Lee</t>
  </si>
  <si>
    <t>Office supplies and printer toner</t>
  </si>
  <si>
    <t>PO-2026-1002</t>
  </si>
  <si>
    <t>Casey Martin</t>
  </si>
  <si>
    <t>Replacement conveyor components</t>
  </si>
  <si>
    <t>PO-2026-1003</t>
  </si>
  <si>
    <t>Taylor Davis</t>
  </si>
  <si>
    <t>Shipping cartons and labels</t>
  </si>
  <si>
    <t>PO-2026-1004</t>
  </si>
  <si>
    <t>Morgan Scott</t>
  </si>
  <si>
    <t>Network support and accessories</t>
  </si>
  <si>
    <t>PO-2026-1005</t>
  </si>
  <si>
    <t>Janitorial supplies</t>
  </si>
  <si>
    <t>PO-2026-1006</t>
  </si>
  <si>
    <t>Freight services</t>
  </si>
  <si>
    <t>PO-2026-1007</t>
  </si>
  <si>
    <t>Safety gloves and protective eyewear</t>
  </si>
  <si>
    <t>PO-2026-1008</t>
  </si>
  <si>
    <t>Utility services</t>
  </si>
  <si>
    <t>PO-2026-1009</t>
  </si>
  <si>
    <t>Printed forms and brochures</t>
  </si>
  <si>
    <t>Invoice Number</t>
  </si>
  <si>
    <t>Invoice Date</t>
  </si>
  <si>
    <t>Due Date</t>
  </si>
  <si>
    <t>Invoice Amount</t>
  </si>
  <si>
    <t>Paid Amount</t>
  </si>
  <si>
    <t>Balance</t>
  </si>
  <si>
    <t>Days Outstanding</t>
  </si>
  <si>
    <t>Aging Bucket</t>
  </si>
  <si>
    <t>Approved By</t>
  </si>
  <si>
    <t>INV-46001</t>
  </si>
  <si>
    <t>INV-46002</t>
  </si>
  <si>
    <t>INV-46003</t>
  </si>
  <si>
    <t>INV-46004</t>
  </si>
  <si>
    <t>INV-46005</t>
  </si>
  <si>
    <t>INV-46006</t>
  </si>
  <si>
    <t>INV-46007</t>
  </si>
  <si>
    <t>INV-46008</t>
  </si>
  <si>
    <t>INV-46009</t>
  </si>
  <si>
    <t>INV-46010</t>
  </si>
  <si>
    <t>INV-46011</t>
  </si>
  <si>
    <t>INV-46012</t>
  </si>
  <si>
    <t>INV-46013</t>
  </si>
  <si>
    <t>INV-46014</t>
  </si>
  <si>
    <t>INV-46015</t>
  </si>
  <si>
    <t>INV-46016</t>
  </si>
  <si>
    <t>INV-46017</t>
  </si>
  <si>
    <t>Payment ID</t>
  </si>
  <si>
    <t>Payment Date</t>
  </si>
  <si>
    <t>Payment Method</t>
  </si>
  <si>
    <t>Reference Number</t>
  </si>
  <si>
    <t>Payment Amount</t>
  </si>
  <si>
    <t>PAY-0001</t>
  </si>
  <si>
    <t>Check</t>
  </si>
  <si>
    <t>REF-80001</t>
  </si>
  <si>
    <t>PAY-0002</t>
  </si>
  <si>
    <t>Credit Card</t>
  </si>
  <si>
    <t>REF-80002</t>
  </si>
  <si>
    <t>PAY-0003</t>
  </si>
  <si>
    <t>ACH</t>
  </si>
  <si>
    <t>REF-80003</t>
  </si>
  <si>
    <t>PAY-0004</t>
  </si>
  <si>
    <t>REF-80004</t>
  </si>
  <si>
    <t>PAY-0006</t>
  </si>
  <si>
    <t>REF-80006</t>
  </si>
  <si>
    <t>PAY-0007</t>
  </si>
  <si>
    <t>REF-80007</t>
  </si>
  <si>
    <t>PAY-0009</t>
  </si>
  <si>
    <t>REF-80009</t>
  </si>
  <si>
    <t>PAY-0010</t>
  </si>
  <si>
    <t>REF-80010</t>
  </si>
  <si>
    <t>PAY-0011</t>
  </si>
  <si>
    <t>REF-80011</t>
  </si>
  <si>
    <t>PAY-0012</t>
  </si>
  <si>
    <t>REF-80012</t>
  </si>
  <si>
    <t>TOTAL INVOICED</t>
  </si>
  <si>
    <t>OUTSTANDING BALANCE</t>
  </si>
  <si>
    <t>OVERDUE BALANCE</t>
  </si>
  <si>
    <t>OPEN INVOICES</t>
  </si>
  <si>
    <t>ACTIVE VENDORS</t>
  </si>
  <si>
    <t>AVG. DAYS OUTSTANDING</t>
  </si>
  <si>
    <t>Vendor Spending Summary</t>
  </si>
  <si>
    <t>Current</t>
  </si>
  <si>
    <t>1-30 Days</t>
  </si>
  <si>
    <t>31-60 Days</t>
  </si>
  <si>
    <t>61-90 Days</t>
  </si>
  <si>
    <t>90+ Days</t>
  </si>
  <si>
    <t>Invoice Activity by Month</t>
  </si>
  <si>
    <t>Month</t>
  </si>
  <si>
    <t>CUSTOMER INVOICE</t>
  </si>
  <si>
    <t>123 Business Way • Gainesville, GA 30501 • (770) 555-0100</t>
  </si>
  <si>
    <t>Line</t>
  </si>
  <si>
    <t>Quantity</t>
  </si>
  <si>
    <t>Unit Price</t>
  </si>
  <si>
    <t>Line Total</t>
  </si>
  <si>
    <t>Taxable</t>
  </si>
  <si>
    <t>Account</t>
  </si>
  <si>
    <t>Notes / Terms:
Thank you for your business. Please reference the invoice number with payment.</t>
  </si>
  <si>
    <t>Subtotal</t>
  </si>
  <si>
    <t>Tax Rate</t>
  </si>
  <si>
    <t>Tax</t>
  </si>
  <si>
    <t>Total</t>
  </si>
  <si>
    <t>Purchase Order</t>
  </si>
  <si>
    <t>ABC Office Supply</t>
  </si>
  <si>
    <t>XYZ Industrial Parts</t>
  </si>
  <si>
    <t>U Packaging Inc</t>
  </si>
  <si>
    <t>Main Technology Services</t>
  </si>
  <si>
    <t>John Jones</t>
  </si>
  <si>
    <t>Sean Smith</t>
  </si>
  <si>
    <t>Mary Mayes</t>
  </si>
  <si>
    <t>Jane Johnson</t>
  </si>
  <si>
    <t>jjones@abcoffice.com</t>
  </si>
  <si>
    <t>ssmith@xyzindustrialparts.com</t>
  </si>
  <si>
    <t>mmayes@upackaging.com</t>
  </si>
  <si>
    <t>janejohnson@maintech.com</t>
  </si>
  <si>
    <t xml:space="preserve"> </t>
  </si>
  <si>
    <t>Net Days Due</t>
  </si>
  <si>
    <t>Terms Net Days</t>
  </si>
  <si>
    <t>Outstanding Balances</t>
  </si>
  <si>
    <t>Grand Total</t>
  </si>
  <si>
    <t xml:space="preserve">Vendor </t>
  </si>
  <si>
    <t>Invoice Tracking Dashboard</t>
  </si>
  <si>
    <t>Sheet</t>
  </si>
  <si>
    <t>Purpose</t>
  </si>
  <si>
    <t>Primary Inputs</t>
  </si>
  <si>
    <t>Automated Outputs</t>
  </si>
  <si>
    <t>Dashboard</t>
  </si>
  <si>
    <t>Executive overview</t>
  </si>
  <si>
    <t>None</t>
  </si>
  <si>
    <t>KPIs and charts</t>
  </si>
  <si>
    <t>Purchase Orders</t>
  </si>
  <si>
    <t>How to Use</t>
  </si>
  <si>
    <t>Invoice Tracking Guide</t>
  </si>
  <si>
    <t>Invoices</t>
  </si>
  <si>
    <t>Payments</t>
  </si>
  <si>
    <t>Vendors</t>
  </si>
  <si>
    <t>Customer Invoice</t>
  </si>
  <si>
    <t>Listing of all purchase orders and current status</t>
  </si>
  <si>
    <t>Listing of all invoices and current status</t>
  </si>
  <si>
    <t>PO number, invoice amount, invoice description</t>
  </si>
  <si>
    <t xml:space="preserve">Vendor, PO description, PO amount </t>
  </si>
  <si>
    <t>Listing of all vendors</t>
  </si>
  <si>
    <t>Vendor information</t>
  </si>
  <si>
    <t>Prepopulated customer invoice</t>
  </si>
  <si>
    <t xml:space="preserve">Invoice number  </t>
  </si>
  <si>
    <t>Remaining Balance</t>
  </si>
  <si>
    <t>Invoice number, received amount</t>
  </si>
  <si>
    <t>Listing of all payments received</t>
  </si>
  <si>
    <t>Provides data to update invoice and purchase order received amount</t>
  </si>
  <si>
    <t>Automatically updates purchase order received amount, balance, status</t>
  </si>
  <si>
    <t>Automatically updates invoice received amount, balance, status, aging</t>
  </si>
  <si>
    <t>Provides list of all approved vendors for purchase orders</t>
  </si>
  <si>
    <t>Creates an automated customer invoice ready for printing or saving to a file</t>
  </si>
  <si>
    <t>5. Create customer invoices on Customer Invoice sheet using dropdown of invoice numbers to automatically populate customer invoice.</t>
  </si>
  <si>
    <t xml:space="preserve">1. Add or edit approved vendors on Vendors sheet.  </t>
  </si>
  <si>
    <t>2. Enter and track purchase orders on Purchase Orders sheet. Received amount and balances will update automatically.</t>
  </si>
  <si>
    <t>3. Enter and track invoices on Invoices sheet. Due date, paid amount, balance, status, and aging will update automatically.</t>
  </si>
  <si>
    <t>4. Enter and track payments on Payments sheet. Information will automatically update invoices and purchase orders.</t>
  </si>
  <si>
    <t>V005</t>
  </si>
  <si>
    <t>PO-2026-1010</t>
  </si>
  <si>
    <t>INV-46018</t>
  </si>
  <si>
    <t>Water Street LLC</t>
  </si>
  <si>
    <t>Cleaners</t>
  </si>
  <si>
    <t>Joe McPhee</t>
  </si>
  <si>
    <t>(770) 555-1215</t>
  </si>
  <si>
    <t>jmcphee@waterstreet.com</t>
  </si>
  <si>
    <t>58-1001005</t>
  </si>
  <si>
    <t>Joe Jones</t>
  </si>
  <si>
    <t>REF-80020</t>
  </si>
  <si>
    <t>Sum of Invoice Amount</t>
  </si>
  <si>
    <t>6. View KPIs updated automatically on the Dashboard sheet.</t>
  </si>
  <si>
    <t>7. Use password ADMIN to unlock protected columns that are updated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</si>
</sst>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m/dd/yyyy"/>
    <numFmt numFmtId="165" formatCode="\$#,##0.00"/>
    <numFmt numFmtId="166" formatCode="0.0\ &quot;days&quot;"/>
    <numFmt numFmtId="167" formatCode="\$#,##0"/>
    <numFmt numFmtId="168" formatCode="_(&quot;$&quot;* #,##0_);_(&quot;$&quot;* \(#,##0\);_(&quot;$&quot;* &quot;-&quot;??_);_(@_)"/>
  </numFmts>
  <fonts count="21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0"/>
      <color rgb="FFFFFFFF"/>
      <name val="Carlito"/>
    </font>
    <font>
      <b/>
      <sz val="10"/>
      <color rgb="FF17365D"/>
      <name val="Carlito"/>
    </font>
    <font>
      <sz val="10"/>
      <name val="Carlito"/>
    </font>
    <font>
      <sz val="10"/>
      <color rgb="FF595959"/>
      <name val="Carlito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0" tint="-0.34998626667073579"/>
      <name val="Carlito"/>
    </font>
    <font>
      <b/>
      <sz val="18"/>
      <color rgb="FFFFFFFF"/>
      <name val="Aptos Narrow"/>
      <family val="2"/>
      <scheme val="minor"/>
    </font>
    <font>
      <b/>
      <sz val="18"/>
      <color rgb="FF17365D"/>
      <name val="Aptos Narrow"/>
      <family val="2"/>
      <scheme val="minor"/>
    </font>
    <font>
      <b/>
      <sz val="16"/>
      <color rgb="FF17365D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2" tint="-0.499984740745262"/>
      <name val="Carlito"/>
    </font>
    <font>
      <b/>
      <sz val="12"/>
      <color theme="0"/>
      <name val="Aptos Narrow"/>
      <family val="2"/>
      <scheme val="minor"/>
    </font>
    <font>
      <b/>
      <sz val="18"/>
      <color rgb="FFFFFFFF"/>
      <name val="Carlito"/>
    </font>
    <font>
      <b/>
      <sz val="11"/>
      <color rgb="FF1F4E78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FFFDF2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1F4E78"/>
      </patternFill>
    </fill>
    <fill>
      <patternFill patternType="solid">
        <fgColor theme="3" tint="9.9978637043366805E-2"/>
        <bgColor indexed="65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/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1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7" xfId="0" applyBorder="1"/>
    <xf numFmtId="0" fontId="4" fillId="0" borderId="0" xfId="0" applyFont="1"/>
    <xf numFmtId="0" fontId="3" fillId="4" borderId="0" xfId="0" applyFont="1" applyFill="1" applyAlignment="1">
      <alignment vertical="center"/>
    </xf>
    <xf numFmtId="0" fontId="4" fillId="7" borderId="8" xfId="0" applyFont="1" applyFill="1" applyBorder="1"/>
    <xf numFmtId="0" fontId="4" fillId="7" borderId="9" xfId="0" applyFont="1" applyFill="1" applyBorder="1"/>
    <xf numFmtId="0" fontId="4" fillId="7" borderId="10" xfId="0" applyFont="1" applyFill="1" applyBorder="1"/>
    <xf numFmtId="0" fontId="2" fillId="3" borderId="0" xfId="0" applyFont="1" applyFill="1" applyAlignment="1">
      <alignment horizontal="center" vertical="center" wrapText="1"/>
    </xf>
    <xf numFmtId="2" fontId="4" fillId="7" borderId="9" xfId="0" applyNumberFormat="1" applyFont="1" applyFill="1" applyBorder="1"/>
    <xf numFmtId="165" fontId="4" fillId="7" borderId="9" xfId="0" applyNumberFormat="1" applyFont="1" applyFill="1" applyBorder="1"/>
    <xf numFmtId="165" fontId="4" fillId="7" borderId="11" xfId="0" applyNumberFormat="1" applyFont="1" applyFill="1" applyBorder="1"/>
    <xf numFmtId="0" fontId="4" fillId="7" borderId="12" xfId="0" applyFont="1" applyFill="1" applyBorder="1"/>
    <xf numFmtId="165" fontId="4" fillId="7" borderId="13" xfId="0" applyNumberFormat="1" applyFont="1" applyFill="1" applyBorder="1"/>
    <xf numFmtId="0" fontId="4" fillId="7" borderId="14" xfId="0" applyFont="1" applyFill="1" applyBorder="1"/>
    <xf numFmtId="165" fontId="4" fillId="7" borderId="15" xfId="0" applyNumberFormat="1" applyFont="1" applyFill="1" applyBorder="1"/>
    <xf numFmtId="0" fontId="4" fillId="7" borderId="1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18" xfId="1" applyFont="1" applyFill="1" applyBorder="1"/>
    <xf numFmtId="0" fontId="8" fillId="0" borderId="18" xfId="1" applyFont="1" applyBorder="1"/>
    <xf numFmtId="0" fontId="7" fillId="0" borderId="0" xfId="0" applyFont="1"/>
    <xf numFmtId="0" fontId="4" fillId="0" borderId="9" xfId="0" applyFont="1" applyBorder="1"/>
    <xf numFmtId="0" fontId="4" fillId="0" borderId="10" xfId="0" applyFont="1" applyBorder="1"/>
    <xf numFmtId="164" fontId="4" fillId="0" borderId="9" xfId="0" applyNumberFormat="1" applyFont="1" applyBorder="1"/>
    <xf numFmtId="164" fontId="4" fillId="0" borderId="10" xfId="0" applyNumberFormat="1" applyFont="1" applyBorder="1"/>
    <xf numFmtId="0" fontId="4" fillId="0" borderId="0" xfId="0" applyFont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/>
    <xf numFmtId="0" fontId="9" fillId="0" borderId="10" xfId="0" applyFont="1" applyBorder="1"/>
    <xf numFmtId="0" fontId="9" fillId="0" borderId="0" xfId="0" applyFont="1" applyAlignment="1">
      <alignment horizontal="left"/>
    </xf>
    <xf numFmtId="0" fontId="9" fillId="0" borderId="0" xfId="0" applyFont="1"/>
    <xf numFmtId="164" fontId="9" fillId="0" borderId="8" xfId="0" applyNumberFormat="1" applyFont="1" applyBorder="1" applyAlignment="1">
      <alignment horizontal="left"/>
    </xf>
    <xf numFmtId="0" fontId="4" fillId="7" borderId="23" xfId="0" applyFont="1" applyFill="1" applyBorder="1"/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164" fontId="9" fillId="0" borderId="9" xfId="0" applyNumberFormat="1" applyFont="1" applyBorder="1" applyAlignment="1">
      <alignment horizontal="left"/>
    </xf>
    <xf numFmtId="164" fontId="9" fillId="0" borderId="10" xfId="0" applyNumberFormat="1" applyFont="1" applyBorder="1" applyAlignment="1">
      <alignment horizontal="left"/>
    </xf>
    <xf numFmtId="9" fontId="4" fillId="7" borderId="13" xfId="3" applyFont="1" applyFill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65" fontId="12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0" borderId="2" xfId="0" applyFont="1" applyBorder="1"/>
    <xf numFmtId="0" fontId="14" fillId="0" borderId="0" xfId="0" applyFont="1"/>
    <xf numFmtId="0" fontId="13" fillId="3" borderId="6" xfId="0" applyFont="1" applyFill="1" applyBorder="1" applyAlignment="1">
      <alignment horizontal="center" vertical="center" wrapText="1"/>
    </xf>
    <xf numFmtId="17" fontId="14" fillId="0" borderId="0" xfId="0" applyNumberFormat="1" applyFont="1"/>
    <xf numFmtId="167" fontId="14" fillId="0" borderId="5" xfId="0" applyNumberFormat="1" applyFont="1" applyBorder="1"/>
    <xf numFmtId="0" fontId="15" fillId="8" borderId="0" xfId="0" applyFont="1" applyFill="1"/>
    <xf numFmtId="0" fontId="14" fillId="0" borderId="0" xfId="0" applyFont="1" applyAlignment="1">
      <alignment horizontal="left"/>
    </xf>
    <xf numFmtId="0" fontId="15" fillId="8" borderId="0" xfId="0" applyFont="1" applyFill="1" applyAlignment="1">
      <alignment horizontal="left"/>
    </xf>
    <xf numFmtId="167" fontId="14" fillId="0" borderId="0" xfId="0" applyNumberFormat="1" applyFont="1"/>
    <xf numFmtId="168" fontId="14" fillId="0" borderId="0" xfId="0" applyNumberFormat="1" applyFont="1"/>
    <xf numFmtId="168" fontId="15" fillId="8" borderId="0" xfId="0" applyNumberFormat="1" applyFont="1" applyFill="1"/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1" fontId="17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wrapText="1"/>
    </xf>
    <xf numFmtId="164" fontId="16" fillId="0" borderId="0" xfId="0" applyNumberFormat="1" applyFont="1" applyAlignment="1">
      <alignment wrapText="1"/>
    </xf>
    <xf numFmtId="0" fontId="17" fillId="0" borderId="21" xfId="0" applyFont="1" applyBorder="1" applyAlignment="1">
      <alignment horizontal="center" vertical="center" wrapText="1"/>
    </xf>
    <xf numFmtId="0" fontId="16" fillId="0" borderId="21" xfId="0" applyFont="1" applyBorder="1"/>
    <xf numFmtId="0" fontId="16" fillId="0" borderId="0" xfId="0" applyFont="1"/>
    <xf numFmtId="44" fontId="16" fillId="0" borderId="0" xfId="2" applyFont="1" applyBorder="1"/>
    <xf numFmtId="0" fontId="1" fillId="9" borderId="0" xfId="0" applyFont="1" applyFill="1" applyAlignment="1">
      <alignment horizontal="center" vertical="center" wrapText="1"/>
    </xf>
    <xf numFmtId="0" fontId="6" fillId="0" borderId="0" xfId="1"/>
    <xf numFmtId="44" fontId="17" fillId="0" borderId="0" xfId="2" applyFont="1" applyAlignment="1">
      <alignment horizontal="center" vertical="center" wrapText="1"/>
    </xf>
    <xf numFmtId="44" fontId="16" fillId="0" borderId="0" xfId="2" applyFont="1" applyAlignment="1">
      <alignment wrapText="1"/>
    </xf>
    <xf numFmtId="0" fontId="14" fillId="11" borderId="0" xfId="0" applyFont="1" applyFill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44" fontId="0" fillId="0" borderId="0" xfId="2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44" fontId="1" fillId="0" borderId="0" xfId="2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44" fontId="0" fillId="0" borderId="0" xfId="2" applyFont="1" applyAlignment="1" applyProtection="1">
      <alignment wrapText="1"/>
      <protection locked="0"/>
    </xf>
    <xf numFmtId="0" fontId="16" fillId="0" borderId="0" xfId="0" applyFont="1" applyAlignment="1" applyProtection="1">
      <alignment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0" fillId="0" borderId="20" xfId="0" applyBorder="1" applyProtection="1">
      <protection locked="0"/>
    </xf>
    <xf numFmtId="164" fontId="0" fillId="0" borderId="21" xfId="0" applyNumberFormat="1" applyBorder="1" applyProtection="1">
      <protection locked="0"/>
    </xf>
    <xf numFmtId="0" fontId="0" fillId="0" borderId="21" xfId="0" applyBorder="1" applyProtection="1">
      <protection locked="0"/>
    </xf>
    <xf numFmtId="164" fontId="0" fillId="0" borderId="0" xfId="0" applyNumberFormat="1" applyProtection="1"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165" fontId="0" fillId="0" borderId="21" xfId="0" applyNumberFormat="1" applyBorder="1" applyProtection="1">
      <protection locked="0"/>
    </xf>
    <xf numFmtId="0" fontId="0" fillId="0" borderId="22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Alignment="1">
      <alignment wrapText="1"/>
    </xf>
    <xf numFmtId="0" fontId="19" fillId="9" borderId="0" xfId="0" applyFont="1" applyFill="1" applyAlignment="1">
      <alignment horizontal="center" vertical="center"/>
    </xf>
    <xf numFmtId="0" fontId="20" fillId="4" borderId="0" xfId="0" applyFont="1" applyFill="1"/>
    <xf numFmtId="0" fontId="13" fillId="6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166" fontId="12" fillId="5" borderId="0" xfId="0" applyNumberFormat="1" applyFont="1" applyFill="1" applyAlignment="1">
      <alignment horizontal="center" vertical="center"/>
    </xf>
    <xf numFmtId="166" fontId="12" fillId="5" borderId="0" xfId="0" applyNumberFormat="1" applyFont="1" applyFill="1" applyAlignment="1">
      <alignment horizontal="left" vertical="center"/>
    </xf>
    <xf numFmtId="0" fontId="18" fillId="10" borderId="2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5" fontId="12" fillId="5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" fillId="2" borderId="0" xfId="0" applyFont="1" applyFill="1" applyAlignment="1">
      <alignment vertical="top" wrapText="1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59">
    <dxf>
      <font>
        <color theme="2" tint="-0.499984740745262"/>
      </font>
      <fill>
        <patternFill>
          <bgColor theme="9" tint="0.79998168889431442"/>
        </patternFill>
      </fill>
    </dxf>
    <dxf>
      <font>
        <color theme="2" tint="-0.499984740745262"/>
      </font>
      <fill>
        <patternFill>
          <bgColor theme="9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  <alignment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</font>
      <numFmt numFmtId="1" formatCode="0"/>
      <fill>
        <patternFill patternType="none"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protection locked="0" hidden="0"/>
    </dxf>
    <dxf>
      <fill>
        <patternFill patternType="none">
          <bgColor auto="1"/>
        </patternFill>
      </fill>
      <alignment textRotation="0" wrapText="1" indent="0" justifyLastLine="0" shrinkToFit="0" readingOrder="0"/>
      <protection locked="0" hidden="0"/>
    </dxf>
    <dxf>
      <fill>
        <patternFill patternType="none">
          <bgColor auto="1"/>
        </patternFill>
      </fill>
      <alignment textRotation="0" wrapText="1" indent="0" justifyLastLine="0" shrinkToFit="0" readingOrder="0"/>
      <protection locked="0" hidden="0"/>
    </dxf>
    <dxf>
      <fill>
        <patternFill patternType="none">
          <bgColor auto="1"/>
        </patternFill>
      </fill>
      <alignment textRotation="0" wrapText="1" indent="0" justifyLastLine="0" shrinkToFit="0" readingOrder="0"/>
      <protection locked="0" hidden="0"/>
    </dxf>
    <dxf>
      <fill>
        <patternFill patternType="none">
          <bgColor auto="1"/>
        </patternFill>
      </fill>
      <alignment textRotation="0" wrapText="1" indent="0" justifyLastLine="0" shrinkToFit="0" readingOrder="0"/>
    </dxf>
    <dxf>
      <fill>
        <patternFill patternType="none"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</dxf>
    <dxf>
      <protection locked="0" hidden="0"/>
    </dxf>
    <dxf>
      <numFmt numFmtId="19" formatCode="m/d/yyyy"/>
      <protection locked="0" hidden="0"/>
    </dxf>
    <dxf>
      <protection locked="0" hidden="0"/>
    </dxf>
    <dxf>
      <fill>
        <patternFill patternType="solid">
          <bgColor theme="3" tint="0.89999084444715716"/>
        </patternFill>
      </fill>
    </dxf>
    <dxf>
      <numFmt numFmtId="168" formatCode="_(&quot;$&quot;* #,##0_);_(&quot;$&quot;* \(#,##0\);_(&quot;$&quot;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color theme="0"/>
      </font>
    </dxf>
    <dxf>
      <fill>
        <patternFill>
          <bgColor theme="3" tint="9.9978637043366805E-2"/>
        </patternFill>
      </fill>
    </dxf>
    <dxf>
      <fill>
        <patternFill patternType="solid">
          <bgColor theme="4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theme="2" tint="-0.499984740745262"/>
      </font>
    </dxf>
    <dxf>
      <font>
        <strike val="0"/>
        <outline val="0"/>
        <shadow val="0"/>
        <u val="none"/>
        <vertAlign val="baseline"/>
        <sz val="11"/>
        <color theme="2" tint="-0.499984740745262"/>
      </font>
    </dxf>
    <dxf>
      <font>
        <strike val="0"/>
        <outline val="0"/>
        <shadow val="0"/>
        <u val="none"/>
        <vertAlign val="baseline"/>
        <sz val="11"/>
        <color theme="2" tint="-0.499984740745262"/>
      </font>
      <numFmt numFmtId="0" formatCode="General"/>
    </dxf>
    <dxf>
      <protection locked="0" hidden="0"/>
    </dxf>
    <dxf>
      <numFmt numFmtId="164" formatCode="mm/dd/yyyy"/>
      <protection locked="0" hidden="0"/>
    </dxf>
    <dxf>
      <protection locked="0" hidden="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Outstanding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Balance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Dashboard!$A$11:$A$15</c:f>
              <c:strCache>
                <c:ptCount val="5"/>
                <c:pt idx="0">
                  <c:v>Current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Dashboard!$B$11:$B$15</c:f>
              <c:numCache>
                <c:formatCode>\$#,##0</c:formatCode>
                <c:ptCount val="5"/>
                <c:pt idx="0">
                  <c:v>110</c:v>
                </c:pt>
                <c:pt idx="1">
                  <c:v>21507.960000000003</c:v>
                </c:pt>
                <c:pt idx="2">
                  <c:v>7393.16</c:v>
                </c:pt>
                <c:pt idx="3">
                  <c:v>17516.18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A-4121-808B-3864ABBB43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0689280"/>
        <c:axId val="1190694080"/>
      </c:barChart>
      <c:catAx>
        <c:axId val="119068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694080"/>
        <c:crosses val="autoZero"/>
        <c:auto val="1"/>
        <c:lblAlgn val="ctr"/>
        <c:lblOffset val="100"/>
        <c:noMultiLvlLbl val="0"/>
      </c:catAx>
      <c:valAx>
        <c:axId val="11906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68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Invoice Activity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Dashboard!$B$22</c:f>
              <c:strCache>
                <c:ptCount val="1"/>
                <c:pt idx="0">
                  <c:v>Invoice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Dashboard!$A$23:$A$34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Dashboard!$B$23:$B$34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15127.419999999998</c:v>
                </c:pt>
                <c:pt idx="4">
                  <c:v>14721.79</c:v>
                </c:pt>
                <c:pt idx="5">
                  <c:v>24787.960000000003</c:v>
                </c:pt>
                <c:pt idx="6">
                  <c:v>210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3-4933-9EB6-D0A5F96E53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56409520"/>
        <c:axId val="1356410000"/>
      </c:barChart>
      <c:dateAx>
        <c:axId val="1356409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10000"/>
        <c:crosses val="autoZero"/>
        <c:auto val="1"/>
        <c:lblOffset val="100"/>
        <c:baseTimeUnit val="months"/>
      </c:dateAx>
      <c:valAx>
        <c:axId val="13564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0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3</xdr:col>
      <xdr:colOff>5372100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86BE33-D646-79A6-968A-1822EB5C5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350520</xdr:colOff>
      <xdr:row>19</xdr:row>
      <xdr:rowOff>171450</xdr:rowOff>
    </xdr:from>
    <xdr:to>
      <xdr:col>4</xdr:col>
      <xdr:colOff>0</xdr:colOff>
      <xdr:row>33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D71CE6-2AAE-B703-3403-FC2590A27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ie Muller" refreshedDate="46230.508800462965" createdVersion="8" refreshedVersion="8" minRefreshableVersion="3" recordCount="19" xr:uid="{30EB7FAB-2CD5-4F7E-A5EE-54A0480E4392}">
  <cacheSource type="worksheet">
    <worksheetSource ref="D1:E20" sheet="Invoices"/>
  </cacheSource>
  <cacheFields count="2">
    <cacheField name="Invoice Amount" numFmtId="44">
      <sharedItems containsString="0" containsBlank="1" containsNumber="1" minValue="200" maxValue="7677.95"/>
    </cacheField>
    <cacheField name="Vendor Name" numFmtId="0">
      <sharedItems containsBlank="1" count="7">
        <s v="U Packaging Inc"/>
        <s v="ABC Office Supply"/>
        <s v="XYZ Industrial Parts"/>
        <s v="Main Technology Services"/>
        <s v="Water Street LLC"/>
        <s v="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702.74"/>
    <x v="0"/>
  </r>
  <r>
    <n v="914.11"/>
    <x v="1"/>
  </r>
  <r>
    <n v="1759.59"/>
    <x v="1"/>
  </r>
  <r>
    <n v="700.69"/>
    <x v="1"/>
  </r>
  <r>
    <n v="1970.96"/>
    <x v="2"/>
  </r>
  <r>
    <n v="912.06"/>
    <x v="2"/>
  </r>
  <r>
    <n v="489.32"/>
    <x v="0"/>
  </r>
  <r>
    <n v="7677.95"/>
    <x v="2"/>
  </r>
  <r>
    <n v="7466.58"/>
    <x v="3"/>
  </r>
  <r>
    <n v="7255.21"/>
    <x v="1"/>
  </r>
  <r>
    <n v="7043.84"/>
    <x v="0"/>
  </r>
  <r>
    <n v="6832.47"/>
    <x v="2"/>
  </r>
  <r>
    <n v="6621.1"/>
    <x v="1"/>
  </r>
  <r>
    <n v="1548.22"/>
    <x v="0"/>
  </r>
  <r>
    <n v="1336.85"/>
    <x v="2"/>
  </r>
  <r>
    <n v="1125.48"/>
    <x v="3"/>
  </r>
  <r>
    <n v="280"/>
    <x v="0"/>
  </r>
  <r>
    <n v="200"/>
    <x v="4"/>
  </r>
  <r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D4434-F85A-4F3D-8D4C-2EEE3765CAB3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Vendor ">
  <location ref="F10:G17" firstHeaderRow="1" firstDataRow="1" firstDataCol="1"/>
  <pivotFields count="2">
    <pivotField dataField="1" numFmtId="44" showAll="0"/>
    <pivotField axis="axisRow" showAll="0">
      <items count="8">
        <item x="1"/>
        <item x="3"/>
        <item x="0"/>
        <item x="4"/>
        <item x="2"/>
        <item n=" " m="1" x="6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Sum of Invoice Amount" fld="0" baseField="0" baseItem="0" numFmtId="44"/>
  </dataFields>
  <formats count="17">
    <format dxfId="47">
      <pivotArea dataOnly="0" labelOnly="1" outline="0" axis="axisValues" fieldPosition="0"/>
    </format>
    <format dxfId="46">
      <pivotArea dataOnly="0" labelOnly="1" outline="0" axis="axisValues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20704D-F13A-4B0D-999B-3B04C21AE4D7}" name="Table2" displayName="Table2" ref="A1:J1048576" totalsRowShown="0">
  <sortState xmlns:xlrd2="http://schemas.microsoft.com/office/spreadsheetml/2017/richdata2" ref="A2:J29">
    <sortCondition ref="A1:A1048576"/>
  </sortState>
  <tableColumns count="10">
    <tableColumn id="1" xr3:uid="{C65426D5-1BC1-4185-89B5-13A6A15721F2}" name="PO Number" dataDxfId="30"/>
    <tableColumn id="2" xr3:uid="{FE9957FF-4EAD-40CA-B207-44130E679F3D}" name="PO Date" dataDxfId="29"/>
    <tableColumn id="3" xr3:uid="{73734B99-1220-4877-ACFB-2DD1115762F1}" name="Vendor Name" dataDxfId="28"/>
    <tableColumn id="4" xr3:uid="{CA504B52-5433-44D3-A7DD-803C24E0E45A}" name="Vendor ID" dataDxfId="27"/>
    <tableColumn id="5" xr3:uid="{946C0A0E-6820-41B7-AFE2-3FC88B752D4F}" name="Buyer" dataDxfId="26"/>
    <tableColumn id="6" xr3:uid="{C5E507C6-D11B-40E2-B64E-0D33BC4678F3}" name="Description" dataDxfId="25"/>
    <tableColumn id="7" xr3:uid="{54D32A7A-ED42-4748-8E9B-1936499791A1}" name="PO Amount" dataDxfId="24" dataCellStyle="Currency"/>
    <tableColumn id="8" xr3:uid="{C5A87457-5739-4155-8AC2-04EC9A18E459}" name="Received Amount" dataDxfId="23" dataCellStyle="Currency"/>
    <tableColumn id="9" xr3:uid="{06426A67-6D0E-4785-8FEA-E7549BDDE8A4}" name="Remaining Balance" dataDxfId="22" dataCellStyle="Currency"/>
    <tableColumn id="10" xr3:uid="{63F293BC-FFEB-4D39-A685-76A6893ADF43}" name="Status" dataDxfId="21"/>
  </tableColumns>
  <tableStyleInfo name="TableStyleLight1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E8686-F4D7-4F8F-AC15-033F7B540141}" name="Table1" displayName="Table1" ref="A1:O1047716" totalsRowShown="0" headerRowDxfId="20" dataDxfId="19">
  <sortState xmlns:xlrd2="http://schemas.microsoft.com/office/spreadsheetml/2017/richdata2" ref="A2:O19">
    <sortCondition ref="A1:A1047716"/>
  </sortState>
  <tableColumns count="15">
    <tableColumn id="1" xr3:uid="{90DE8C49-85FF-44E1-BF0F-99197DEBDBFC}" name="Invoice Number" dataDxfId="18"/>
    <tableColumn id="2" xr3:uid="{F13D17A7-7C4F-473C-9872-81C32B23DF53}" name="Invoice Date" dataDxfId="17"/>
    <tableColumn id="3" xr3:uid="{5BD4BB34-16E8-4D75-A5F7-DBC732ECEC7B}" name="PO Number" dataDxfId="16"/>
    <tableColumn id="4" xr3:uid="{D2164D99-A7FB-4351-AACC-24548A38F87D}" name="Invoice Amount" dataDxfId="15" dataCellStyle="Currency"/>
    <tableColumn id="21" xr3:uid="{7C183D43-89E5-4085-86FB-CFD7112C2C7A}" name="Vendor Name" dataDxfId="14"/>
    <tableColumn id="20" xr3:uid="{01DABD80-E048-4FCE-AF97-F15294197EEA}" name="Vendor ID" dataDxfId="13"/>
    <tableColumn id="17" xr3:uid="{8662E951-A454-4D51-AAEB-A20BC2C82562}" name="Net Days Due" dataDxfId="12"/>
    <tableColumn id="18" xr3:uid="{505A0C23-6FE6-41A0-BFED-8506D619236F}" name="Due Date" dataDxfId="11"/>
    <tableColumn id="9" xr3:uid="{75421E48-EF81-4FC8-B249-A872E40C614F}" name="Paid Amount" dataDxfId="10" dataCellStyle="Currency"/>
    <tableColumn id="10" xr3:uid="{6843F070-B5D7-4C7D-9965-59D82D8D0EB4}" name="Balance" dataDxfId="9" dataCellStyle="Currency"/>
    <tableColumn id="11" xr3:uid="{77EAD245-227C-4584-9C6F-E692E02314D3}" name="Status" dataDxfId="8"/>
    <tableColumn id="12" xr3:uid="{86F7A4FF-E50A-45C7-A8B8-D6AFDC23CE51}" name="Days Outstanding" dataDxfId="7"/>
    <tableColumn id="13" xr3:uid="{F56A7E51-8C38-4CFE-B683-835CAEBB8911}" name="Aging Bucket" dataDxfId="6"/>
    <tableColumn id="5" xr3:uid="{9965641F-8710-4C17-B20E-26648679B6FD}" name="Approved By" dataDxfId="5"/>
    <tableColumn id="14" xr3:uid="{ECDFB298-FC4F-400A-A27F-EEB0499DAD14}" name="Description" dataDxfId="4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550346-0895-45B9-B515-E5767CC98869}" name="Table4" displayName="Table4" ref="A1:J160" totalsRowShown="0" headerRowDxfId="58">
  <sortState xmlns:xlrd2="http://schemas.microsoft.com/office/spreadsheetml/2017/richdata2" ref="A2:J160">
    <sortCondition ref="A1:A160"/>
  </sortState>
  <tableColumns count="10">
    <tableColumn id="1" xr3:uid="{23ED6D44-C09C-42A2-B9EF-7721C22FED78}" name="Payment ID" dataDxfId="57"/>
    <tableColumn id="2" xr3:uid="{063D0591-E28C-4662-BCA2-A07BA0FF45B2}" name="Payment Date" dataDxfId="56"/>
    <tableColumn id="3" xr3:uid="{193D39D3-53CF-4D0A-B1D7-A7C82380C8A6}" name="Invoice Number" dataDxfId="55"/>
    <tableColumn id="4" xr3:uid="{B7158DAC-193A-40EA-8D51-30DABEE9DC3E}" name="Purchase Order" dataDxfId="54"/>
    <tableColumn id="5" xr3:uid="{691E6952-E897-4A32-AC5B-23B8863D3F74}" name="Vendor Name" dataDxfId="53"/>
    <tableColumn id="6" xr3:uid="{1165DCFC-8F35-4131-B44E-C27E44FE9DEE}" name="Vendor ID" dataDxfId="52"/>
    <tableColumn id="16385" xr3:uid="{9920904E-E045-4C99-A1C1-1432B9A2BA14}" name="Payment Amount" dataDxfId="51"/>
    <tableColumn id="7" xr3:uid="{18ECFA45-0C94-4CB5-86E7-8CA35CF89A11}" name="Payment Method" dataDxfId="50"/>
    <tableColumn id="8" xr3:uid="{61B83D43-832B-4A46-9FF5-111D898168C7}" name="Reference Number" dataDxfId="49"/>
    <tableColumn id="10" xr3:uid="{228428C9-F583-41A7-AC8D-47801711FC3C}" name="Notes" dataDxfId="48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F1AC8E-4F40-418A-8242-F6234077D13F}" name="Table3" displayName="Table3" ref="A1:K1048568" totalsRowShown="0" headerRowDxfId="3">
  <tableColumns count="11">
    <tableColumn id="1" xr3:uid="{B50A8E87-611C-4169-AB75-CBA574017728}" name="Vendor ID"/>
    <tableColumn id="2" xr3:uid="{0E7F783A-54C1-49D8-BF0D-3FB90F948A3B}" name="Vendor Name"/>
    <tableColumn id="3" xr3:uid="{D626FBED-B2A2-4E68-BEFE-D4ADF17FE281}" name="Category"/>
    <tableColumn id="4" xr3:uid="{73027D48-5C66-4C4D-946D-A15FA860AFC2}" name="Contact Name"/>
    <tableColumn id="5" xr3:uid="{66D3B773-F3D1-43A6-98D7-CE56AC954DEC}" name="Phone"/>
    <tableColumn id="6" xr3:uid="{AD396C78-EFFE-4CCA-84D0-879E36450D63}" name="Email"/>
    <tableColumn id="7" xr3:uid="{E2A4E921-1FF5-48D9-A529-07B10C9383E1}" name="Net Days Due"/>
    <tableColumn id="8" xr3:uid="{6D729891-1959-4EF4-A8EB-D109B4D156A9}" name="Preferred Vendor"/>
    <tableColumn id="9" xr3:uid="{1FF4F342-8637-427B-B7D6-7F898B80F7CA}" name="Tax ID"/>
    <tableColumn id="10" xr3:uid="{015F1DC4-1F4B-443A-A4C7-D6340FEE8DEE}" name="Active"/>
    <tableColumn id="11" xr3:uid="{1F9CA60D-D31E-425C-B523-1E5918A37874}" name="Notes"/>
  </tableColumns>
  <tableStyleInfo name="TableStyleLight1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mayes@upackaging.com" TargetMode="External"/><Relationship Id="rId2" Type="http://schemas.openxmlformats.org/officeDocument/2006/relationships/hyperlink" Target="mailto:ssmith@xyzindustrialparts.com" TargetMode="External"/><Relationship Id="rId1" Type="http://schemas.openxmlformats.org/officeDocument/2006/relationships/hyperlink" Target="mailto:jjones@abcoffice.com" TargetMode="External"/><Relationship Id="rId6" Type="http://schemas.openxmlformats.org/officeDocument/2006/relationships/table" Target="../tables/table4.xml"/><Relationship Id="rId5" Type="http://schemas.openxmlformats.org/officeDocument/2006/relationships/hyperlink" Target="mailto:jmcphee@waterstreet.com" TargetMode="External"/><Relationship Id="rId4" Type="http://schemas.openxmlformats.org/officeDocument/2006/relationships/hyperlink" Target="mailto:janejohnson@maintech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8301-4D67-4687-A774-388FB674A304}">
  <dimension ref="A1:D19"/>
  <sheetViews>
    <sheetView tabSelected="1" zoomScale="107" zoomScaleNormal="107" workbookViewId="0">
      <selection activeCell="A14" sqref="A14:D14"/>
    </sheetView>
  </sheetViews>
  <sheetFormatPr defaultRowHeight="14.4"/>
  <cols>
    <col min="1" max="1" width="15.5546875" bestFit="1" customWidth="1"/>
    <col min="2" max="2" width="49.5546875" customWidth="1"/>
    <col min="3" max="3" width="47.44140625" customWidth="1"/>
    <col min="4" max="4" width="64.88671875" customWidth="1"/>
  </cols>
  <sheetData>
    <row r="1" spans="1:4" ht="24" customHeight="1">
      <c r="A1" s="99" t="s">
        <v>169</v>
      </c>
      <c r="B1" s="99"/>
      <c r="C1" s="99"/>
      <c r="D1" s="99"/>
    </row>
    <row r="3" spans="1:4" ht="20.85" customHeight="1">
      <c r="A3" s="73" t="s">
        <v>159</v>
      </c>
      <c r="B3" s="73" t="s">
        <v>160</v>
      </c>
      <c r="C3" s="73" t="s">
        <v>161</v>
      </c>
      <c r="D3" s="73" t="s">
        <v>162</v>
      </c>
    </row>
    <row r="4" spans="1:4">
      <c r="A4" t="s">
        <v>163</v>
      </c>
      <c r="B4" t="s">
        <v>164</v>
      </c>
      <c r="C4" t="s">
        <v>165</v>
      </c>
      <c r="D4" t="s">
        <v>166</v>
      </c>
    </row>
    <row r="5" spans="1:4">
      <c r="A5" t="s">
        <v>167</v>
      </c>
      <c r="B5" t="s">
        <v>174</v>
      </c>
      <c r="C5" t="s">
        <v>177</v>
      </c>
      <c r="D5" t="s">
        <v>186</v>
      </c>
    </row>
    <row r="6" spans="1:4">
      <c r="A6" t="s">
        <v>170</v>
      </c>
      <c r="B6" t="s">
        <v>175</v>
      </c>
      <c r="C6" t="s">
        <v>176</v>
      </c>
      <c r="D6" t="s">
        <v>187</v>
      </c>
    </row>
    <row r="7" spans="1:4">
      <c r="A7" t="s">
        <v>171</v>
      </c>
      <c r="B7" t="s">
        <v>184</v>
      </c>
      <c r="C7" t="s">
        <v>183</v>
      </c>
      <c r="D7" t="s">
        <v>185</v>
      </c>
    </row>
    <row r="8" spans="1:4">
      <c r="A8" t="s">
        <v>172</v>
      </c>
      <c r="B8" t="s">
        <v>178</v>
      </c>
      <c r="C8" t="s">
        <v>179</v>
      </c>
      <c r="D8" t="s">
        <v>188</v>
      </c>
    </row>
    <row r="9" spans="1:4">
      <c r="A9" t="s">
        <v>173</v>
      </c>
      <c r="B9" t="s">
        <v>180</v>
      </c>
      <c r="C9" t="s">
        <v>181</v>
      </c>
      <c r="D9" t="s">
        <v>189</v>
      </c>
    </row>
    <row r="12" spans="1:4">
      <c r="A12" s="100" t="s">
        <v>168</v>
      </c>
      <c r="B12" s="100"/>
      <c r="C12" s="100"/>
      <c r="D12" s="100"/>
    </row>
    <row r="13" spans="1:4" ht="21.6" customHeight="1">
      <c r="A13" s="98" t="s">
        <v>191</v>
      </c>
      <c r="B13" s="98"/>
      <c r="C13" s="98"/>
      <c r="D13" s="98"/>
    </row>
    <row r="14" spans="1:4" ht="21.6" customHeight="1">
      <c r="A14" s="98" t="s">
        <v>192</v>
      </c>
      <c r="B14" s="98"/>
      <c r="C14" s="98"/>
      <c r="D14" s="98"/>
    </row>
    <row r="15" spans="1:4" ht="21.6" customHeight="1">
      <c r="A15" s="98" t="s">
        <v>193</v>
      </c>
      <c r="B15" s="98"/>
      <c r="C15" s="98"/>
      <c r="D15" s="98"/>
    </row>
    <row r="16" spans="1:4" ht="21.6" customHeight="1">
      <c r="A16" s="98" t="s">
        <v>194</v>
      </c>
      <c r="B16" s="98"/>
      <c r="C16" s="98"/>
      <c r="D16" s="98"/>
    </row>
    <row r="17" spans="1:4" ht="21.6" customHeight="1">
      <c r="A17" s="98" t="s">
        <v>190</v>
      </c>
      <c r="B17" s="98"/>
      <c r="C17" s="98"/>
      <c r="D17" s="98"/>
    </row>
    <row r="18" spans="1:4" ht="21.6" customHeight="1">
      <c r="A18" s="98" t="s">
        <v>207</v>
      </c>
      <c r="B18" s="98"/>
      <c r="C18" s="98"/>
      <c r="D18" s="98"/>
    </row>
    <row r="19" spans="1:4" ht="21.6" customHeight="1">
      <c r="A19" s="98" t="s">
        <v>208</v>
      </c>
      <c r="B19" s="98"/>
      <c r="C19" s="98"/>
      <c r="D19" s="98"/>
    </row>
  </sheetData>
  <mergeCells count="9">
    <mergeCell ref="A16:D16"/>
    <mergeCell ref="A17:D17"/>
    <mergeCell ref="A18:D18"/>
    <mergeCell ref="A19:D19"/>
    <mergeCell ref="A1:D1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E873-1998-4AFC-B331-04A3349A32DD}">
  <dimension ref="A1:G34"/>
  <sheetViews>
    <sheetView workbookViewId="0">
      <selection activeCell="I6" sqref="I6"/>
    </sheetView>
  </sheetViews>
  <sheetFormatPr defaultRowHeight="14.4"/>
  <cols>
    <col min="1" max="1" width="13.88671875" customWidth="1"/>
    <col min="2" max="2" width="23.21875" customWidth="1"/>
    <col min="3" max="3" width="5.21875" customWidth="1"/>
    <col min="4" max="4" width="78.88671875" customWidth="1"/>
    <col min="5" max="5" width="2.88671875" customWidth="1"/>
    <col min="6" max="6" width="23.21875" customWidth="1"/>
    <col min="7" max="7" width="18.21875" customWidth="1"/>
    <col min="8" max="8" width="13.5546875" customWidth="1"/>
    <col min="9" max="9" width="16.44140625" bestFit="1" customWidth="1"/>
  </cols>
  <sheetData>
    <row r="1" spans="1:7">
      <c r="A1" s="108" t="s">
        <v>158</v>
      </c>
      <c r="B1" s="108"/>
      <c r="C1" s="108"/>
      <c r="D1" s="108"/>
      <c r="E1" s="108"/>
      <c r="F1" s="108"/>
      <c r="G1" s="108"/>
    </row>
    <row r="2" spans="1:7">
      <c r="A2" s="108"/>
      <c r="B2" s="108"/>
      <c r="C2" s="108"/>
      <c r="D2" s="108"/>
      <c r="E2" s="108"/>
      <c r="F2" s="108"/>
      <c r="G2" s="108"/>
    </row>
    <row r="3" spans="1:7" ht="23.4">
      <c r="A3" s="102" t="s">
        <v>112</v>
      </c>
      <c r="B3" s="102"/>
      <c r="C3" s="102"/>
      <c r="D3" s="48" t="s">
        <v>113</v>
      </c>
      <c r="E3" s="48"/>
      <c r="F3" s="102" t="s">
        <v>114</v>
      </c>
      <c r="G3" s="102"/>
    </row>
    <row r="4" spans="1:7" ht="14.4" customHeight="1">
      <c r="A4" s="109">
        <f>SUM(Invoices!D:D)</f>
        <v>54847.170000000006</v>
      </c>
      <c r="B4" s="109"/>
      <c r="C4" s="109"/>
      <c r="D4" s="49">
        <f>SUM(Invoices!J:J)</f>
        <v>46527.3</v>
      </c>
      <c r="E4" s="49"/>
      <c r="F4" s="109">
        <f ca="1">SUMIFS(Invoices!J:J,Invoices!H:H,"&lt;"&amp;TODAY(),Invoices!J:J,"&gt;0")</f>
        <v>46417.3</v>
      </c>
      <c r="G4" s="109"/>
    </row>
    <row r="5" spans="1:7" ht="14.4" customHeight="1">
      <c r="A5" s="109"/>
      <c r="B5" s="109"/>
      <c r="C5" s="109"/>
      <c r="D5" s="49"/>
      <c r="E5" s="49"/>
      <c r="F5" s="109"/>
      <c r="G5" s="109"/>
    </row>
    <row r="6" spans="1:7" ht="23.4">
      <c r="A6" s="102" t="s">
        <v>115</v>
      </c>
      <c r="B6" s="102"/>
      <c r="C6" s="102"/>
      <c r="D6" s="48" t="s">
        <v>116</v>
      </c>
      <c r="E6" s="48"/>
      <c r="F6" s="102" t="s">
        <v>117</v>
      </c>
      <c r="G6" s="102"/>
    </row>
    <row r="7" spans="1:7" ht="14.4" customHeight="1">
      <c r="A7" s="103">
        <f>COUNTIFS(Invoices!J:J,"&gt;0")</f>
        <v>16</v>
      </c>
      <c r="B7" s="103"/>
      <c r="C7" s="103"/>
      <c r="D7" s="50">
        <f>COUNTIF(Vendors!J:J,"Yes")</f>
        <v>5</v>
      </c>
      <c r="E7" s="50"/>
      <c r="F7" s="104">
        <f ca="1">IFERROR(SUMIFS(Invoices!L:L,Invoices!J:J,"&gt;0")/COUNTIFS(Invoices!J:J,"&gt;0"),0)</f>
        <v>70.875</v>
      </c>
      <c r="G7" s="104"/>
    </row>
    <row r="8" spans="1:7" ht="14.4" customHeight="1">
      <c r="A8" s="103"/>
      <c r="B8" s="103"/>
      <c r="C8" s="103"/>
      <c r="D8" s="50"/>
      <c r="E8" s="50"/>
      <c r="F8" s="105"/>
      <c r="G8" s="105"/>
    </row>
    <row r="9" spans="1:7" ht="15.6">
      <c r="A9" s="101" t="s">
        <v>155</v>
      </c>
      <c r="B9" s="101"/>
      <c r="C9" s="46"/>
      <c r="F9" s="106" t="s">
        <v>118</v>
      </c>
      <c r="G9" s="107"/>
    </row>
    <row r="10" spans="1:7" ht="15.6">
      <c r="A10" s="51" t="s">
        <v>65</v>
      </c>
      <c r="B10" s="52" t="s">
        <v>63</v>
      </c>
      <c r="C10" s="1"/>
      <c r="F10" s="77" t="s">
        <v>157</v>
      </c>
      <c r="G10" s="58" t="s">
        <v>206</v>
      </c>
    </row>
    <row r="11" spans="1:7" ht="15.6">
      <c r="A11" s="53" t="s">
        <v>119</v>
      </c>
      <c r="B11" s="61">
        <f ca="1">SUMIF(Invoices!M:M,A11,Invoices!J:J)</f>
        <v>110</v>
      </c>
      <c r="F11" s="59" t="s">
        <v>140</v>
      </c>
      <c r="G11" s="62">
        <v>17250.7</v>
      </c>
    </row>
    <row r="12" spans="1:7" ht="15.6">
      <c r="A12" s="53" t="s">
        <v>120</v>
      </c>
      <c r="B12" s="61">
        <f ca="1">SUMIF(Invoices!M:M,A12,Invoices!J:J)</f>
        <v>21507.960000000003</v>
      </c>
      <c r="F12" s="59" t="s">
        <v>143</v>
      </c>
      <c r="G12" s="62">
        <v>8592.06</v>
      </c>
    </row>
    <row r="13" spans="1:7" ht="15.6">
      <c r="A13" s="53" t="s">
        <v>121</v>
      </c>
      <c r="B13" s="61">
        <f ca="1">SUMIF(Invoices!M:M,A13,Invoices!J:J)</f>
        <v>7393.16</v>
      </c>
      <c r="F13" s="59" t="s">
        <v>142</v>
      </c>
      <c r="G13" s="62">
        <v>10064.119999999999</v>
      </c>
    </row>
    <row r="14" spans="1:7" ht="15.6">
      <c r="A14" s="53" t="s">
        <v>122</v>
      </c>
      <c r="B14" s="61">
        <f ca="1">SUMIF(Invoices!M:M,A14,Invoices!J:J)</f>
        <v>17516.18</v>
      </c>
      <c r="F14" s="59" t="s">
        <v>198</v>
      </c>
      <c r="G14" s="62">
        <v>200</v>
      </c>
    </row>
    <row r="15" spans="1:7" ht="15.6">
      <c r="A15" s="53" t="s">
        <v>123</v>
      </c>
      <c r="B15" s="61">
        <f ca="1">SUMIF(Invoices!M:M,A15,Invoices!J:J)</f>
        <v>0</v>
      </c>
      <c r="F15" s="59" t="s">
        <v>141</v>
      </c>
      <c r="G15" s="62">
        <v>18730.289999999997</v>
      </c>
    </row>
    <row r="16" spans="1:7" ht="15.6">
      <c r="A16" s="53"/>
      <c r="B16" s="61"/>
      <c r="F16" s="59"/>
      <c r="G16" s="62"/>
    </row>
    <row r="17" spans="1:7" ht="15.6">
      <c r="A17" s="54"/>
      <c r="B17" s="61"/>
      <c r="F17" s="60" t="s">
        <v>156</v>
      </c>
      <c r="G17" s="63">
        <v>54837.17</v>
      </c>
    </row>
    <row r="18" spans="1:7" ht="15.6">
      <c r="A18" s="54"/>
      <c r="B18" s="61"/>
      <c r="E18" s="2"/>
    </row>
    <row r="19" spans="1:7" ht="15.6">
      <c r="A19" s="54"/>
      <c r="B19" s="61"/>
      <c r="E19" s="2"/>
    </row>
    <row r="20" spans="1:7" ht="15.6">
      <c r="A20" s="54"/>
      <c r="B20" s="54"/>
      <c r="E20" s="2"/>
    </row>
    <row r="21" spans="1:7" ht="15.6">
      <c r="A21" s="101" t="s">
        <v>124</v>
      </c>
      <c r="B21" s="101"/>
      <c r="C21" s="47"/>
      <c r="E21" s="2"/>
    </row>
    <row r="22" spans="1:7" ht="15.6">
      <c r="A22" s="52" t="s">
        <v>125</v>
      </c>
      <c r="B22" s="55" t="s">
        <v>61</v>
      </c>
      <c r="E22" s="2"/>
    </row>
    <row r="23" spans="1:7" ht="15.6">
      <c r="A23" s="56">
        <v>46023</v>
      </c>
      <c r="B23" s="57">
        <f>SUMIFS(Invoices!D:D,Invoices!B:B,"&gt;="&amp;DATE(2026,1,1),Invoices!B:B,"&lt;"&amp;DATE(2026,2,1))</f>
        <v>0</v>
      </c>
      <c r="E23" s="2"/>
    </row>
    <row r="24" spans="1:7" ht="15.6">
      <c r="A24" s="56">
        <v>46054</v>
      </c>
      <c r="B24" s="57">
        <f>SUMIFS(Invoices!D:D,Invoices!B:B,"&gt;="&amp;DATE(2026,2,1),Invoices!B:B,"&lt;"&amp;DATE(2026,3,1))</f>
        <v>0</v>
      </c>
      <c r="E24" s="2"/>
    </row>
    <row r="25" spans="1:7" ht="15.6">
      <c r="A25" s="56">
        <v>46082</v>
      </c>
      <c r="B25" s="57">
        <f>SUMIFS(Invoices!D:D,Invoices!B:B,"&gt;="&amp;DATE(2026,3,1),Invoices!B:B,"&lt;"&amp;DATE(2026,4,1))</f>
        <v>0</v>
      </c>
      <c r="E25" s="2"/>
    </row>
    <row r="26" spans="1:7" ht="15.6">
      <c r="A26" s="56">
        <v>46113</v>
      </c>
      <c r="B26" s="57">
        <f>SUMIFS(Invoices!D:D,Invoices!B:B,"&gt;="&amp;DATE(2026,4,1),Invoices!B:B,"&lt;"&amp;DATE(2026,5,1))</f>
        <v>15127.419999999998</v>
      </c>
      <c r="E26" s="2"/>
    </row>
    <row r="27" spans="1:7" ht="15.6">
      <c r="A27" s="56">
        <v>46143</v>
      </c>
      <c r="B27" s="57">
        <f>SUMIFS(Invoices!D:D,Invoices!B:B,"&gt;="&amp;DATE(2026,5,1),Invoices!B:B,"&lt;"&amp;DATE(2026,6,1))</f>
        <v>14721.79</v>
      </c>
      <c r="E27" s="2"/>
    </row>
    <row r="28" spans="1:7" ht="15.6">
      <c r="A28" s="56">
        <v>46174</v>
      </c>
      <c r="B28" s="57">
        <f>SUMIFS(Invoices!D:D,Invoices!B:B,"&gt;="&amp;DATE(2026,6,1),Invoices!B:B,"&lt;"&amp;DATE(2026,7,1))</f>
        <v>24787.960000000003</v>
      </c>
      <c r="E28" s="2"/>
    </row>
    <row r="29" spans="1:7" ht="15.6">
      <c r="A29" s="56">
        <v>46204</v>
      </c>
      <c r="B29" s="57">
        <f>SUMIFS(Invoices!D:D,Invoices!B:B,"&gt;="&amp;DATE(2026,7,1),Invoices!B:B,"&lt;"&amp;DATE(2026,8,1))</f>
        <v>210</v>
      </c>
      <c r="E29" s="2"/>
    </row>
    <row r="30" spans="1:7" ht="15.6">
      <c r="A30" s="56">
        <v>46235</v>
      </c>
      <c r="B30" s="57">
        <f>SUMIFS(Invoices!D:D,Invoices!B:B,"&gt;="&amp;DATE(2026,8,1),Invoices!B:B,"&lt;"&amp;DATE(2026,9,1))</f>
        <v>0</v>
      </c>
      <c r="D30" s="3"/>
      <c r="E30" s="4"/>
    </row>
    <row r="31" spans="1:7" ht="15.6">
      <c r="A31" s="56">
        <v>46266</v>
      </c>
      <c r="B31" s="57">
        <f>SUMIFS(Invoices!D:D,Invoices!B:B,"&gt;="&amp;DATE(2026,9,1),Invoices!B:B,"&lt;"&amp;DATE(2026,10,1))</f>
        <v>0</v>
      </c>
    </row>
    <row r="32" spans="1:7" ht="15.6">
      <c r="A32" s="56">
        <v>46296</v>
      </c>
      <c r="B32" s="57">
        <f>SUMIFS(Invoices!D:D,Invoices!B:B,"&gt;="&amp;DATE(2026,10,1),Invoices!B:B,"&lt;"&amp;DATE(2026,11,1))</f>
        <v>0</v>
      </c>
    </row>
    <row r="33" spans="1:2" ht="15.6">
      <c r="A33" s="56">
        <v>46327</v>
      </c>
      <c r="B33" s="57">
        <f>SUMIFS(Invoices!D:D,Invoices!B:B,"&gt;="&amp;DATE(2026,11,1),Invoices!B:B,"&lt;"&amp;DATE(2026,12,1))</f>
        <v>0</v>
      </c>
    </row>
    <row r="34" spans="1:2" ht="15.6">
      <c r="A34" s="56">
        <v>46357</v>
      </c>
      <c r="B34" s="57">
        <f>SUMIFS(Invoices!D:D,Invoices!B:B,"&gt;="&amp;DATE(2026,12,1),Invoices!B:B,"&lt;"&amp;DATE(2027,1,1))</f>
        <v>0</v>
      </c>
    </row>
  </sheetData>
  <mergeCells count="14">
    <mergeCell ref="A1:G2"/>
    <mergeCell ref="A3:C3"/>
    <mergeCell ref="A4:C5"/>
    <mergeCell ref="F3:G3"/>
    <mergeCell ref="F4:G4"/>
    <mergeCell ref="F5:G5"/>
    <mergeCell ref="A9:B9"/>
    <mergeCell ref="A6:C6"/>
    <mergeCell ref="A7:C8"/>
    <mergeCell ref="A21:B21"/>
    <mergeCell ref="F6:G6"/>
    <mergeCell ref="F7:G7"/>
    <mergeCell ref="F8:G8"/>
    <mergeCell ref="F9:G9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E0D3-8F43-4B24-BF4C-5691AD66DEC3}">
  <dimension ref="A1:J29"/>
  <sheetViews>
    <sheetView workbookViewId="0"/>
  </sheetViews>
  <sheetFormatPr defaultRowHeight="14.4"/>
  <cols>
    <col min="1" max="1" width="17.33203125" style="78" customWidth="1"/>
    <col min="2" max="2" width="16.44140625" style="80" customWidth="1"/>
    <col min="3" max="3" width="26.6640625" style="78" customWidth="1"/>
    <col min="4" max="4" width="12" style="71" customWidth="1"/>
    <col min="5" max="5" width="11.88671875" style="78" customWidth="1"/>
    <col min="6" max="6" width="16.77734375" style="78" customWidth="1"/>
    <col min="7" max="7" width="16.109375" style="81" customWidth="1"/>
    <col min="8" max="8" width="21.44140625" style="72" customWidth="1"/>
    <col min="9" max="9" width="24.33203125" style="72" customWidth="1"/>
    <col min="10" max="10" width="8.88671875" style="71"/>
  </cols>
  <sheetData>
    <row r="1" spans="1:10">
      <c r="A1" s="78" t="s">
        <v>28</v>
      </c>
      <c r="B1" s="79" t="s">
        <v>29</v>
      </c>
      <c r="C1" s="78" t="s">
        <v>1</v>
      </c>
      <c r="D1" s="71" t="s">
        <v>0</v>
      </c>
      <c r="E1" s="78" t="s">
        <v>30</v>
      </c>
      <c r="F1" s="78" t="s">
        <v>31</v>
      </c>
      <c r="G1" s="81" t="s">
        <v>32</v>
      </c>
      <c r="H1" s="72" t="s">
        <v>33</v>
      </c>
      <c r="I1" s="72" t="s">
        <v>182</v>
      </c>
      <c r="J1" s="71" t="s">
        <v>34</v>
      </c>
    </row>
    <row r="2" spans="1:10">
      <c r="A2" s="78" t="s">
        <v>35</v>
      </c>
      <c r="B2" s="80">
        <v>46125</v>
      </c>
      <c r="C2" s="78" t="s">
        <v>140</v>
      </c>
      <c r="D2" s="71" t="str">
        <f>IF(C2="","",_xlfn.XLOOKUP(C2,Vendors!B:B,Vendors!A:A))</f>
        <v>V001</v>
      </c>
      <c r="E2" s="78" t="s">
        <v>46</v>
      </c>
      <c r="F2" s="78" t="s">
        <v>47</v>
      </c>
      <c r="G2" s="81">
        <v>1062.6500000000001</v>
      </c>
      <c r="H2" s="72">
        <f>IF(G2="","",SUMIF(Payments!D:D,A2,Payments!G:G))</f>
        <v>0</v>
      </c>
      <c r="I2" s="72">
        <f>IF(G2="","",G2-H2)</f>
        <v>1062.6500000000001</v>
      </c>
      <c r="J2" s="71" t="str">
        <f>IF(G2="","",IF(I2=0,"Closed","Open"))</f>
        <v>Open</v>
      </c>
    </row>
    <row r="3" spans="1:10">
      <c r="A3" s="78" t="s">
        <v>39</v>
      </c>
      <c r="B3" s="80">
        <v>46121</v>
      </c>
      <c r="C3" s="78" t="s">
        <v>141</v>
      </c>
      <c r="D3" s="71" t="str">
        <f>IF(C3="","",_xlfn.XLOOKUP(C3,Vendors!B:B,Vendors!A:A))</f>
        <v>V002</v>
      </c>
      <c r="E3" s="78" t="s">
        <v>43</v>
      </c>
      <c r="F3" s="78" t="s">
        <v>44</v>
      </c>
      <c r="G3" s="81">
        <v>925.1</v>
      </c>
      <c r="H3" s="72">
        <f>IF(G3="","",SUMIF(Payments!D:D,A3,Payments!G:G))</f>
        <v>0</v>
      </c>
      <c r="I3" s="72">
        <f>IF(G3="","",G3-H3)</f>
        <v>925.1</v>
      </c>
      <c r="J3" s="71" t="str">
        <f>IF(G3="","",IF(I3=0,"Closed","Open"))</f>
        <v>Open</v>
      </c>
    </row>
    <row r="4" spans="1:10">
      <c r="A4" s="78" t="s">
        <v>42</v>
      </c>
      <c r="B4" s="80">
        <v>46117</v>
      </c>
      <c r="C4" s="78" t="s">
        <v>142</v>
      </c>
      <c r="D4" s="71" t="str">
        <f>IF(C4="","",_xlfn.XLOOKUP(C4,Vendors!B:B,Vendors!A:A))</f>
        <v>V003</v>
      </c>
      <c r="E4" s="78" t="s">
        <v>40</v>
      </c>
      <c r="F4" s="78" t="s">
        <v>41</v>
      </c>
      <c r="G4" s="81">
        <v>787.55</v>
      </c>
      <c r="H4" s="72">
        <f>IF(G4="","",SUMIF(Payments!D:D,A4,Payments!G:G))</f>
        <v>280</v>
      </c>
      <c r="I4" s="72">
        <f>IF(G4="","",G4-H4)</f>
        <v>507.54999999999995</v>
      </c>
      <c r="J4" s="71" t="str">
        <f>IF(G4="","",IF(I4=0,"Closed","Open"))</f>
        <v>Open</v>
      </c>
    </row>
    <row r="5" spans="1:10">
      <c r="A5" s="78" t="s">
        <v>45</v>
      </c>
      <c r="B5" s="80">
        <v>46173</v>
      </c>
      <c r="C5" s="78" t="s">
        <v>140</v>
      </c>
      <c r="D5" s="71" t="str">
        <f>IF(C5="","",_xlfn.XLOOKUP(C5,Vendors!B:B,Vendors!A:A))</f>
        <v>V001</v>
      </c>
      <c r="E5" s="78" t="s">
        <v>46</v>
      </c>
      <c r="F5" s="78" t="s">
        <v>51</v>
      </c>
      <c r="G5" s="81">
        <v>2713.25</v>
      </c>
      <c r="H5" s="72">
        <f>IF(G5="","",SUMIF(Payments!D:D,A5,Payments!G:G))</f>
        <v>2673.7</v>
      </c>
      <c r="I5" s="72">
        <f>IF(G5="","",G5-H5)</f>
        <v>39.550000000000182</v>
      </c>
      <c r="J5" s="71" t="str">
        <f>IF(G5="","",IF(I5=0,"Closed","Open"))</f>
        <v>Open</v>
      </c>
    </row>
    <row r="6" spans="1:10">
      <c r="A6" s="78" t="s">
        <v>48</v>
      </c>
      <c r="B6" s="80">
        <v>46129</v>
      </c>
      <c r="C6" s="78" t="s">
        <v>143</v>
      </c>
      <c r="D6" s="71" t="str">
        <f>IF(C6="","",_xlfn.XLOOKUP(C6,Vendors!B:B,Vendors!A:A))</f>
        <v>V004</v>
      </c>
      <c r="E6" s="78" t="s">
        <v>37</v>
      </c>
      <c r="F6" s="78" t="s">
        <v>49</v>
      </c>
      <c r="G6" s="81">
        <v>1200.2</v>
      </c>
      <c r="H6" s="72">
        <f>IF(G6="","",SUMIF(Payments!D:D,A6,Payments!G:G))</f>
        <v>800</v>
      </c>
      <c r="I6" s="72">
        <f>IF(G6="","",G6-H6)</f>
        <v>400.20000000000005</v>
      </c>
      <c r="J6" s="71" t="str">
        <f>IF(G6="","",IF(I6=0,"Closed","Open"))</f>
        <v>Open</v>
      </c>
    </row>
    <row r="7" spans="1:10">
      <c r="A7" s="78" t="s">
        <v>50</v>
      </c>
      <c r="B7" s="80">
        <v>46169</v>
      </c>
      <c r="C7" s="78" t="s">
        <v>141</v>
      </c>
      <c r="D7" s="71" t="str">
        <f>IF(C7="","",_xlfn.XLOOKUP(C7,Vendors!B:B,Vendors!A:A))</f>
        <v>V002</v>
      </c>
      <c r="E7" s="78" t="s">
        <v>43</v>
      </c>
      <c r="F7" s="78" t="s">
        <v>49</v>
      </c>
      <c r="G7" s="81">
        <v>2575.6999999999998</v>
      </c>
      <c r="H7" s="72">
        <f>IF(G7="","",SUMIF(Payments!D:D,A7,Payments!G:G))</f>
        <v>1000</v>
      </c>
      <c r="I7" s="72">
        <f>IF(G7="","",G7-H7)</f>
        <v>1575.6999999999998</v>
      </c>
      <c r="J7" s="71" t="str">
        <f>IF(G7="","",IF(I7=0,"Closed","Open"))</f>
        <v>Open</v>
      </c>
    </row>
    <row r="8" spans="1:10">
      <c r="A8" s="78" t="s">
        <v>52</v>
      </c>
      <c r="B8" s="80">
        <v>46165</v>
      </c>
      <c r="C8" s="78" t="s">
        <v>142</v>
      </c>
      <c r="D8" s="71" t="str">
        <f>IF(C8="","",_xlfn.XLOOKUP(C8,Vendors!B:B,Vendors!A:A))</f>
        <v>V003</v>
      </c>
      <c r="E8" s="78" t="s">
        <v>40</v>
      </c>
      <c r="F8" s="78" t="s">
        <v>47</v>
      </c>
      <c r="G8" s="81">
        <v>2438.15</v>
      </c>
      <c r="H8" s="72">
        <f>IF(G8="","",SUMIF(Payments!D:D,A8,Payments!G:G))</f>
        <v>1500</v>
      </c>
      <c r="I8" s="72">
        <f>IF(G8="","",G8-H8)</f>
        <v>938.15000000000009</v>
      </c>
      <c r="J8" s="71" t="str">
        <f>IF(G8="","",IF(I8=0,"Closed","Open"))</f>
        <v>Open</v>
      </c>
    </row>
    <row r="9" spans="1:10">
      <c r="A9" s="78" t="s">
        <v>54</v>
      </c>
      <c r="B9" s="80">
        <v>46221</v>
      </c>
      <c r="C9" s="78" t="s">
        <v>140</v>
      </c>
      <c r="D9" s="71" t="str">
        <f>IF(C9="","",_xlfn.XLOOKUP(C9,Vendors!B:B,Vendors!A:A))</f>
        <v>V001</v>
      </c>
      <c r="E9" s="78" t="s">
        <v>46</v>
      </c>
      <c r="F9" s="78" t="s">
        <v>55</v>
      </c>
      <c r="G9" s="81">
        <v>4363.8500000000004</v>
      </c>
      <c r="H9" s="72">
        <f>IF(G9="","",SUMIF(Payments!D:D,A9,Payments!G:G))</f>
        <v>1403.43</v>
      </c>
      <c r="I9" s="72">
        <f>IF(G9="","",G9-H9)</f>
        <v>2960.42</v>
      </c>
      <c r="J9" s="71" t="str">
        <f>IF(G9="","",IF(I9=0,"Closed","Open"))</f>
        <v>Open</v>
      </c>
    </row>
    <row r="10" spans="1:10">
      <c r="A10" s="78" t="s">
        <v>56</v>
      </c>
      <c r="B10" s="80">
        <v>46217</v>
      </c>
      <c r="C10" s="78" t="s">
        <v>141</v>
      </c>
      <c r="D10" s="71" t="str">
        <f>IF(C10="","",_xlfn.XLOOKUP(C10,Vendors!B:B,Vendors!A:A))</f>
        <v>V002</v>
      </c>
      <c r="E10" s="78" t="s">
        <v>43</v>
      </c>
      <c r="F10" s="78" t="s">
        <v>53</v>
      </c>
      <c r="G10" s="81">
        <v>4226.3</v>
      </c>
      <c r="H10" s="72">
        <f>IF(G10="","",SUMIF(Payments!D:D,A10,Payments!G:G))</f>
        <v>562.74</v>
      </c>
      <c r="I10" s="72">
        <f>IF(G10="","",G10-H10)</f>
        <v>3663.5600000000004</v>
      </c>
      <c r="J10" s="71" t="str">
        <f>IF(G10="","",IF(I10=0,"Closed","Open"))</f>
        <v>Open</v>
      </c>
    </row>
    <row r="11" spans="1:10">
      <c r="A11" s="78" t="s">
        <v>196</v>
      </c>
      <c r="B11" s="80">
        <v>46230</v>
      </c>
      <c r="C11" s="78" t="s">
        <v>198</v>
      </c>
      <c r="D11" s="71" t="str">
        <f>IF(C11="","",_xlfn.XLOOKUP(C11,Vendors!B:B,Vendors!A:A))</f>
        <v>V005</v>
      </c>
      <c r="E11" s="78" t="s">
        <v>204</v>
      </c>
      <c r="F11" s="78" t="s">
        <v>49</v>
      </c>
      <c r="G11" s="81">
        <v>250</v>
      </c>
      <c r="H11" s="72">
        <f>IF(G11="","",SUMIF(Payments!D:D,A11,Payments!G:G))</f>
        <v>100</v>
      </c>
      <c r="I11" s="72">
        <f>IF(G11="","",G11-H11)</f>
        <v>150</v>
      </c>
      <c r="J11" s="71" t="str">
        <f>IF(G11="","",IF(I11=0,"Closed","Open"))</f>
        <v>Open</v>
      </c>
    </row>
    <row r="12" spans="1:10">
      <c r="D12" s="71" t="str">
        <f>IF(C12="","",_xlfn.XLOOKUP(C12,Vendors!B:B,Vendors!A:A))</f>
        <v/>
      </c>
      <c r="H12" s="72" t="str">
        <f>IF(G12="","",SUMIF(Payments!D:D,A12,Payments!G:G))</f>
        <v/>
      </c>
      <c r="I12" s="72" t="str">
        <f>IF(G12="","",G12-H12)</f>
        <v/>
      </c>
      <c r="J12" s="71" t="str">
        <f>IF(G12="","",IF(I12=0,"Closed","Open"))</f>
        <v/>
      </c>
    </row>
    <row r="13" spans="1:10">
      <c r="H13" s="72" t="str">
        <f>IF(G13="","",SUMIF(Payments!D:D,A13,Payments!G:G))</f>
        <v/>
      </c>
    </row>
    <row r="14" spans="1:10">
      <c r="D14" s="71" t="str">
        <f>IF(C14="","",_xlfn.XLOOKUP(C14,Vendors!B:B,Vendors!A:A))</f>
        <v/>
      </c>
      <c r="H14" s="72" t="str">
        <f>IF(G14="","",SUMIF(Payments!D:D,A14,Payments!G:G))</f>
        <v/>
      </c>
      <c r="I14" s="72" t="str">
        <f>IF(G14="","",G14-H14)</f>
        <v/>
      </c>
      <c r="J14" s="71" t="str">
        <f>IF(G14="","",IF(I14=0,"Closed","Open"))</f>
        <v/>
      </c>
    </row>
    <row r="15" spans="1:10">
      <c r="D15" s="71" t="str">
        <f>IF(C15="","",_xlfn.XLOOKUP(C15,Vendors!B:B,Vendors!A:A))</f>
        <v/>
      </c>
      <c r="H15" s="72" t="str">
        <f>IF(G15="","",SUMIF(Payments!D:D,A15,Payments!G:G))</f>
        <v/>
      </c>
      <c r="I15" s="72" t="str">
        <f>IF(G15="","",G15-H15)</f>
        <v/>
      </c>
      <c r="J15" s="71" t="str">
        <f>IF(G15="","",IF(I15=0,"Closed","Open"))</f>
        <v/>
      </c>
    </row>
    <row r="16" spans="1:10">
      <c r="D16" s="71" t="str">
        <f>IF(C16="","",_xlfn.XLOOKUP(C16,Vendors!B:B,Vendors!A:A))</f>
        <v/>
      </c>
      <c r="H16" s="72" t="str">
        <f>IF(G16="","",SUMIF(Payments!D:D,A16,Payments!G:G))</f>
        <v/>
      </c>
      <c r="I16" s="72" t="str">
        <f>IF(G16="","",G16-H16)</f>
        <v/>
      </c>
      <c r="J16" s="71" t="str">
        <f>IF(G16="","",IF(I16=0,"Closed","Open"))</f>
        <v/>
      </c>
    </row>
    <row r="17" spans="4:10">
      <c r="D17" s="71" t="s">
        <v>152</v>
      </c>
      <c r="H17" s="72" t="str">
        <f>IF(G17="","",SUMIF(Payments!D:D,A17,Payments!G:G))</f>
        <v/>
      </c>
      <c r="I17" s="72" t="str">
        <f>IF(G17="","",G17-H17)</f>
        <v/>
      </c>
      <c r="J17" s="71" t="str">
        <f>IF(G17="","",IF(I17=0,"Closed","Open"))</f>
        <v/>
      </c>
    </row>
    <row r="18" spans="4:10">
      <c r="D18" s="71" t="str">
        <f>IF(C18="","",_xlfn.XLOOKUP(C18,Vendors!B:B,Vendors!A:A))</f>
        <v/>
      </c>
      <c r="H18" s="72" t="str">
        <f>IF(G18="","",SUMIF(Payments!D:D,A18,Payments!G:G))</f>
        <v/>
      </c>
      <c r="I18" s="72" t="str">
        <f>IF(G18="","",G18-H18)</f>
        <v/>
      </c>
      <c r="J18" s="71" t="str">
        <f>IF(G18="","",IF(I18=0,"Closed","Open"))</f>
        <v/>
      </c>
    </row>
    <row r="19" spans="4:10">
      <c r="D19" s="71" t="str">
        <f>IF(C19="","",_xlfn.XLOOKUP(C19,Vendors!B:B,Vendors!A:A))</f>
        <v/>
      </c>
      <c r="H19" s="72" t="str">
        <f>IF(G19="","",SUMIF(Payments!D:D,A19,Payments!G:G))</f>
        <v/>
      </c>
      <c r="I19" s="72" t="str">
        <f>IF(G19="","",G19-H19)</f>
        <v/>
      </c>
      <c r="J19" s="71" t="str">
        <f>IF(G19="","",IF(I19=0,"Closed","Open"))</f>
        <v/>
      </c>
    </row>
    <row r="20" spans="4:10">
      <c r="D20" s="71" t="str">
        <f>IF(C20="","",_xlfn.XLOOKUP(C20,Vendors!B:B,Vendors!A:A))</f>
        <v/>
      </c>
      <c r="H20" s="72" t="str">
        <f>IF(G20="","",SUMIF(Payments!D:D,A20,Payments!G:G))</f>
        <v/>
      </c>
      <c r="I20" s="72" t="str">
        <f>IF(G20="","",G20-H20)</f>
        <v/>
      </c>
      <c r="J20" s="71" t="s">
        <v>152</v>
      </c>
    </row>
    <row r="21" spans="4:10">
      <c r="D21" s="71" t="str">
        <f>IF(C21="","",_xlfn.XLOOKUP(C21,Vendors!B:B,Vendors!A:A))</f>
        <v/>
      </c>
      <c r="H21" s="72" t="str">
        <f>IF(G21="","",SUMIF(Payments!D:D,A21,Payments!G:G))</f>
        <v/>
      </c>
    </row>
    <row r="22" spans="4:10">
      <c r="D22" s="71" t="str">
        <f>IF(C22="","",_xlfn.XLOOKUP(C22,Vendors!B:B,Vendors!A:A))</f>
        <v/>
      </c>
    </row>
    <row r="23" spans="4:10">
      <c r="D23" s="71" t="str">
        <f>IF(C23="","",_xlfn.XLOOKUP(C23,Vendors!B:B,Vendors!A:A))</f>
        <v/>
      </c>
    </row>
    <row r="24" spans="4:10">
      <c r="D24" s="71" t="str">
        <f>IF(C24="","",_xlfn.XLOOKUP(C24,Vendors!B:B,Vendors!A:A))</f>
        <v/>
      </c>
    </row>
    <row r="25" spans="4:10">
      <c r="D25" s="71" t="str">
        <f>IF(C25="","",_xlfn.XLOOKUP(C25,Vendors!B:B,Vendors!A:A))</f>
        <v/>
      </c>
    </row>
    <row r="26" spans="4:10">
      <c r="D26" s="71" t="str">
        <f>IF(C26="","",_xlfn.XLOOKUP(C26,Vendors!B:B,Vendors!A:A))</f>
        <v/>
      </c>
    </row>
    <row r="27" spans="4:10">
      <c r="D27" s="71" t="str">
        <f>IF(C27="","",_xlfn.XLOOKUP(C27,Vendors!B:B,Vendors!A:A))</f>
        <v/>
      </c>
    </row>
    <row r="28" spans="4:10">
      <c r="D28" s="71" t="str">
        <f>IF(C28="","",_xlfn.XLOOKUP(C28,Vendors!B:B,Vendors!A:A))</f>
        <v/>
      </c>
    </row>
    <row r="29" spans="4:10">
      <c r="D29" s="71" t="str">
        <f>IF(C29="","",_xlfn.XLOOKUP(C29,Vendors!B:B,Vendors!A:A))</f>
        <v/>
      </c>
    </row>
  </sheetData>
  <sheetProtection algorithmName="SHA-512" hashValue="RF55eRzokU6+n9TAL3v7QTyWIGiSU8dXTrvyil/zqlH5keNCdqN0HgsRRnwPIEIKant8yG4RMsapwU4gIB+Nug==" saltValue="GnqVPy5U1h2mtcDHDRy2Uw==" spinCount="100000" sheet="1" objects="1" scenarios="1"/>
  <protectedRanges>
    <protectedRange algorithmName="SHA-512" hashValue="9og2JUeoZOPA4CSWmw+E90C6dVRIdrh36tq1i2PUrGwPd+suHf53K/1SQaSf31BAPtjRyIvSneWpZHCXRPkIgA==" saltValue="prBuxk23HVcwzFCMxJYoWA==" spinCount="100000" sqref="A1:C1048576 E1:E1048576 F1:F1048576" name="PURCHASEORDER"/>
  </protectedRanges>
  <dataValidations count="1">
    <dataValidation type="list" allowBlank="1" showInputMessage="1" showErrorMessage="1" sqref="C2:C1048576" xr:uid="{210F1EFE-E627-48F9-800C-599705B76C87}">
      <formula1>VendorName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4688-77BC-4A5C-9EEE-3F689BAB2538}">
  <dimension ref="A1:O31"/>
  <sheetViews>
    <sheetView workbookViewId="0"/>
  </sheetViews>
  <sheetFormatPr defaultRowHeight="14.4"/>
  <cols>
    <col min="1" max="1" width="11.6640625" style="84" customWidth="1"/>
    <col min="2" max="2" width="11.109375" style="84" customWidth="1"/>
    <col min="3" max="3" width="15.21875" style="84" customWidth="1"/>
    <col min="4" max="4" width="12.44140625" style="86" customWidth="1"/>
    <col min="5" max="5" width="23.33203125" style="65" customWidth="1"/>
    <col min="6" max="6" width="8.88671875" style="65" customWidth="1"/>
    <col min="7" max="7" width="10.88671875" style="67" customWidth="1"/>
    <col min="8" max="8" width="14.44140625" style="65" customWidth="1"/>
    <col min="9" max="9" width="12.21875" style="76" customWidth="1"/>
    <col min="10" max="10" width="11.77734375" style="76" customWidth="1"/>
    <col min="11" max="11" width="11.88671875" style="65" customWidth="1"/>
    <col min="12" max="12" width="13.109375" style="65" customWidth="1"/>
    <col min="13" max="13" width="13.33203125" style="65" customWidth="1"/>
    <col min="14" max="14" width="13.33203125" style="87" customWidth="1"/>
    <col min="15" max="15" width="31.77734375" style="84" customWidth="1"/>
    <col min="16" max="16384" width="8.88671875" style="45"/>
  </cols>
  <sheetData>
    <row r="1" spans="1:15" ht="27.6">
      <c r="A1" s="82" t="s">
        <v>58</v>
      </c>
      <c r="B1" s="82" t="s">
        <v>59</v>
      </c>
      <c r="C1" s="82" t="s">
        <v>28</v>
      </c>
      <c r="D1" s="83" t="s">
        <v>61</v>
      </c>
      <c r="E1" s="64" t="s">
        <v>1</v>
      </c>
      <c r="F1" s="64" t="s">
        <v>0</v>
      </c>
      <c r="G1" s="66" t="s">
        <v>153</v>
      </c>
      <c r="H1" s="64" t="s">
        <v>60</v>
      </c>
      <c r="I1" s="75" t="s">
        <v>62</v>
      </c>
      <c r="J1" s="75" t="s">
        <v>63</v>
      </c>
      <c r="K1" s="64" t="s">
        <v>34</v>
      </c>
      <c r="L1" s="64" t="s">
        <v>64</v>
      </c>
      <c r="M1" s="64" t="s">
        <v>65</v>
      </c>
      <c r="N1" s="82" t="s">
        <v>66</v>
      </c>
      <c r="O1" s="82" t="s">
        <v>31</v>
      </c>
    </row>
    <row r="2" spans="1:15">
      <c r="A2" s="84" t="s">
        <v>67</v>
      </c>
      <c r="B2" s="85">
        <v>46126</v>
      </c>
      <c r="C2" s="84" t="s">
        <v>42</v>
      </c>
      <c r="D2" s="86">
        <v>702.74</v>
      </c>
      <c r="E2" s="65" t="str">
        <f t="shared" ref="E2:E18" si="0">IF(C2="","",_xlfn.XLOOKUP(C2,PONUMBER,POVENDORNAME))</f>
        <v>U Packaging Inc</v>
      </c>
      <c r="F2" s="65" t="str">
        <f>IF(E2="","",_xlfn.XLOOKUP(E2,Vendors!B$1:B$1048568,Vendors!A$1:A$1048568))</f>
        <v>V003</v>
      </c>
      <c r="G2" s="67">
        <f>IF(D2="","",_xlfn.XLOOKUP(F2,Vendors!A:A,Vendors!G:G))</f>
        <v>30</v>
      </c>
      <c r="H2" s="68">
        <f>IF(B2="","",B2+G2)</f>
        <v>46156</v>
      </c>
      <c r="I2" s="76">
        <f>IF(D2="","",SUMIF(Payments!C:C,A2,Payments!G:G))</f>
        <v>0</v>
      </c>
      <c r="J2" s="76">
        <f t="shared" ref="J2:J18" si="1">IF(D2="","",D2-I2)</f>
        <v>702.74</v>
      </c>
      <c r="K2" s="65" t="str">
        <f>IF(J2="","",IF(J2&lt;=0,"Paid","Open"))</f>
        <v>Open</v>
      </c>
      <c r="L2" s="67">
        <f ca="1">IF(J2="","",IF(J2&lt;=0,0,MAX(0,TODAY()-B2)))</f>
        <v>104</v>
      </c>
      <c r="M2" s="65" t="str">
        <f t="shared" ref="M2:M11" ca="1" si="2">IF(J2="","",(IF(J2&lt;=0,"Paid",IF(TODAY()&lt;=H2,"Current",IF(TODAY()-H2&lt;=30,"1-30 Days",IF(TODAY()-H2&lt;=60,"31-60 Days",IF(TODAY()-H2&lt;=90,"61-90 Days","90+ Days")))))))</f>
        <v>61-90 Days</v>
      </c>
      <c r="N2" s="84" t="s">
        <v>43</v>
      </c>
      <c r="O2" s="84" t="s">
        <v>44</v>
      </c>
    </row>
    <row r="3" spans="1:15">
      <c r="A3" s="84" t="s">
        <v>68</v>
      </c>
      <c r="B3" s="85">
        <v>46128</v>
      </c>
      <c r="C3" s="84" t="s">
        <v>45</v>
      </c>
      <c r="D3" s="86">
        <v>914.11</v>
      </c>
      <c r="E3" s="65" t="str">
        <f t="shared" si="0"/>
        <v>ABC Office Supply</v>
      </c>
      <c r="F3" s="65" t="str">
        <f>IF(E3="","",_xlfn.XLOOKUP(E3,Vendors!B$1:B$1048568,Vendors!A$1:A$1048568))</f>
        <v>V001</v>
      </c>
      <c r="G3" s="67">
        <f>IF(D3="","",_xlfn.XLOOKUP(F3,Vendors!A:A,Vendors!G:G))</f>
        <v>30</v>
      </c>
      <c r="H3" s="68">
        <f t="shared" ref="H3:H18" si="3">IF(B3="","",B3+G3)</f>
        <v>46158</v>
      </c>
      <c r="I3" s="76">
        <f>IF(D3="","",SUMIF(Payments!C:C,A3,Payments!G:G))</f>
        <v>491.37</v>
      </c>
      <c r="J3" s="76">
        <f t="shared" si="1"/>
        <v>422.74</v>
      </c>
      <c r="K3" s="65" t="str">
        <f t="shared" ref="K3:K31" si="4">IF(J3="","",IF(J3&lt;=0,"Paid","Open"))</f>
        <v>Open</v>
      </c>
      <c r="L3" s="67">
        <f ca="1">IF(J3="","",IF(J3&lt;=0,0,MAX(0,TODAY()-B3)))</f>
        <v>102</v>
      </c>
      <c r="M3" s="65" t="str">
        <f t="shared" ca="1" si="2"/>
        <v>61-90 Days</v>
      </c>
      <c r="N3" s="84" t="s">
        <v>46</v>
      </c>
      <c r="O3" s="84" t="s">
        <v>47</v>
      </c>
    </row>
    <row r="4" spans="1:15">
      <c r="A4" s="84" t="s">
        <v>69</v>
      </c>
      <c r="B4" s="85">
        <v>46136</v>
      </c>
      <c r="C4" s="84" t="s">
        <v>54</v>
      </c>
      <c r="D4" s="86">
        <v>1759.59</v>
      </c>
      <c r="E4" s="65" t="str">
        <f t="shared" si="0"/>
        <v>ABC Office Supply</v>
      </c>
      <c r="F4" s="65" t="str">
        <f>IF(E4="","",_xlfn.XLOOKUP(E4,Vendors!B$1:B$1048568,Vendors!A$1:A$1048568))</f>
        <v>V001</v>
      </c>
      <c r="G4" s="67">
        <f>IF(D4="","",_xlfn.XLOOKUP(F4,Vendors!A:A,Vendors!G:G))</f>
        <v>30</v>
      </c>
      <c r="H4" s="68">
        <f t="shared" si="3"/>
        <v>46166</v>
      </c>
      <c r="I4" s="76">
        <f>IF(D4="","",SUMIF(Payments!C:C,A4,Payments!G:G))</f>
        <v>702.74</v>
      </c>
      <c r="J4" s="76">
        <f t="shared" si="1"/>
        <v>1056.8499999999999</v>
      </c>
      <c r="K4" s="65" t="str">
        <f t="shared" si="4"/>
        <v>Open</v>
      </c>
      <c r="L4" s="67">
        <f ca="1">IF(J4="","",IF(J4&lt;=0,0,MAX(0,TODAY()-B4)))</f>
        <v>94</v>
      </c>
      <c r="M4" s="65" t="str">
        <f t="shared" ca="1" si="2"/>
        <v>61-90 Days</v>
      </c>
      <c r="N4" s="84" t="s">
        <v>46</v>
      </c>
      <c r="O4" s="84" t="s">
        <v>55</v>
      </c>
    </row>
    <row r="5" spans="1:15">
      <c r="A5" s="84" t="s">
        <v>70</v>
      </c>
      <c r="B5" s="85">
        <v>46135</v>
      </c>
      <c r="C5" s="84" t="s">
        <v>54</v>
      </c>
      <c r="D5" s="86">
        <v>700.69</v>
      </c>
      <c r="E5" s="65" t="str">
        <f t="shared" si="0"/>
        <v>ABC Office Supply</v>
      </c>
      <c r="F5" s="65" t="str">
        <f>IF(E5="","",_xlfn.XLOOKUP(E5,Vendors!B$1:B$1048568,Vendors!A$1:A$1048568))</f>
        <v>V001</v>
      </c>
      <c r="G5" s="67">
        <f>IF(D5="","",_xlfn.XLOOKUP(F5,Vendors!A:A,Vendors!G:G))</f>
        <v>30</v>
      </c>
      <c r="H5" s="68">
        <f t="shared" si="3"/>
        <v>46165</v>
      </c>
      <c r="I5" s="76">
        <f>IF(D5="","",SUMIF(Payments!C:C,A5,Payments!G:G))</f>
        <v>700.69</v>
      </c>
      <c r="J5" s="76">
        <f t="shared" si="1"/>
        <v>0</v>
      </c>
      <c r="K5" s="65" t="str">
        <f t="shared" si="4"/>
        <v>Paid</v>
      </c>
      <c r="L5" s="67">
        <f ca="1">IF(J5="","",IF(J5&lt;=0,0,MAX(0,TODAY()-B5)))</f>
        <v>0</v>
      </c>
      <c r="M5" s="65" t="str">
        <f t="shared" ca="1" si="2"/>
        <v>Paid</v>
      </c>
      <c r="N5" s="84" t="s">
        <v>40</v>
      </c>
      <c r="O5" s="84" t="s">
        <v>55</v>
      </c>
    </row>
    <row r="6" spans="1:15">
      <c r="A6" s="84" t="s">
        <v>71</v>
      </c>
      <c r="B6" s="85">
        <v>46134</v>
      </c>
      <c r="C6" s="84" t="s">
        <v>56</v>
      </c>
      <c r="D6" s="86">
        <v>1970.96</v>
      </c>
      <c r="E6" s="65" t="str">
        <f t="shared" si="0"/>
        <v>XYZ Industrial Parts</v>
      </c>
      <c r="F6" s="65" t="str">
        <f>IF(E6="","",_xlfn.XLOOKUP(E6,Vendors!B$1:B$1048568,Vendors!A$1:A$1048568))</f>
        <v>V002</v>
      </c>
      <c r="G6" s="67">
        <f>IF(D6="","",_xlfn.XLOOKUP(F6,Vendors!A:A,Vendors!G:G))</f>
        <v>45</v>
      </c>
      <c r="H6" s="68">
        <f t="shared" si="3"/>
        <v>46179</v>
      </c>
      <c r="I6" s="76">
        <f>IF(D6="","",SUMIF(Payments!C:C,A6,Payments!G:G))</f>
        <v>562.74</v>
      </c>
      <c r="J6" s="76">
        <f t="shared" si="1"/>
        <v>1408.22</v>
      </c>
      <c r="K6" s="65" t="str">
        <f t="shared" si="4"/>
        <v>Open</v>
      </c>
      <c r="L6" s="67">
        <f ca="1">IF(J6="","",IF(J6&lt;=0,0,MAX(0,TODAY()-B6)))</f>
        <v>96</v>
      </c>
      <c r="M6" s="65" t="str">
        <f t="shared" ca="1" si="2"/>
        <v>31-60 Days</v>
      </c>
      <c r="N6" s="84" t="s">
        <v>37</v>
      </c>
      <c r="O6" s="84" t="s">
        <v>57</v>
      </c>
    </row>
    <row r="7" spans="1:15">
      <c r="A7" s="84" t="s">
        <v>72</v>
      </c>
      <c r="B7" s="85">
        <v>46132</v>
      </c>
      <c r="C7" s="84" t="s">
        <v>56</v>
      </c>
      <c r="D7" s="86">
        <v>912.06</v>
      </c>
      <c r="E7" s="65" t="str">
        <f t="shared" si="0"/>
        <v>XYZ Industrial Parts</v>
      </c>
      <c r="F7" s="65" t="str">
        <f>IF(E7="","",_xlfn.XLOOKUP(E7,Vendors!B$1:B$1048568,Vendors!A$1:A$1048568))</f>
        <v>V002</v>
      </c>
      <c r="G7" s="67">
        <f>IF(D7="","",_xlfn.XLOOKUP(F7,Vendors!A:A,Vendors!G:G))</f>
        <v>45</v>
      </c>
      <c r="H7" s="68">
        <f t="shared" si="3"/>
        <v>46177</v>
      </c>
      <c r="I7" s="76">
        <f>IF(D7="","",SUMIF(Payments!C:C,A7,Payments!G:G))</f>
        <v>0</v>
      </c>
      <c r="J7" s="76">
        <f t="shared" si="1"/>
        <v>912.06</v>
      </c>
      <c r="K7" s="65" t="str">
        <f t="shared" si="4"/>
        <v>Open</v>
      </c>
      <c r="L7" s="67">
        <f t="shared" ref="L7:L19" ca="1" si="5">IF(J7="","",IF(J7&lt;=0,0,MAX(0,TODAY()-B7)))</f>
        <v>98</v>
      </c>
      <c r="M7" s="65" t="str">
        <f t="shared" ca="1" si="2"/>
        <v>31-60 Days</v>
      </c>
      <c r="N7" s="84" t="s">
        <v>43</v>
      </c>
      <c r="O7" s="84" t="s">
        <v>57</v>
      </c>
    </row>
    <row r="8" spans="1:15">
      <c r="A8" s="84" t="s">
        <v>73</v>
      </c>
      <c r="B8" s="85">
        <v>46130</v>
      </c>
      <c r="C8" s="84" t="s">
        <v>52</v>
      </c>
      <c r="D8" s="86">
        <v>489.32</v>
      </c>
      <c r="E8" s="65" t="str">
        <f t="shared" si="0"/>
        <v>U Packaging Inc</v>
      </c>
      <c r="F8" s="65" t="str">
        <f>IF(E8="","",_xlfn.XLOOKUP(E8,Vendors!B$1:B$1048568,Vendors!A$1:A$1048568))</f>
        <v>V003</v>
      </c>
      <c r="G8" s="67">
        <f>IF(D8="","",_xlfn.XLOOKUP(F8,Vendors!A:A,Vendors!G:G))</f>
        <v>30</v>
      </c>
      <c r="H8" s="68">
        <f t="shared" si="3"/>
        <v>46160</v>
      </c>
      <c r="I8" s="76">
        <f>IF(D8="","",SUMIF(Payments!C:C,A8,Payments!G:G))</f>
        <v>0</v>
      </c>
      <c r="J8" s="76">
        <f t="shared" si="1"/>
        <v>489.32</v>
      </c>
      <c r="K8" s="65" t="str">
        <f t="shared" si="4"/>
        <v>Open</v>
      </c>
      <c r="L8" s="67">
        <f t="shared" ca="1" si="5"/>
        <v>100</v>
      </c>
      <c r="M8" s="65" t="str">
        <f t="shared" ca="1" si="2"/>
        <v>61-90 Days</v>
      </c>
      <c r="N8" s="84" t="s">
        <v>37</v>
      </c>
      <c r="O8" s="84" t="s">
        <v>53</v>
      </c>
    </row>
    <row r="9" spans="1:15">
      <c r="A9" s="84" t="s">
        <v>74</v>
      </c>
      <c r="B9" s="85">
        <v>46122</v>
      </c>
      <c r="C9" s="84" t="s">
        <v>50</v>
      </c>
      <c r="D9" s="86">
        <v>7677.95</v>
      </c>
      <c r="E9" s="65" t="str">
        <f t="shared" si="0"/>
        <v>XYZ Industrial Parts</v>
      </c>
      <c r="F9" s="65" t="str">
        <f>IF(E9="","",_xlfn.XLOOKUP(E9,Vendors!B$1:B$1048568,Vendors!A$1:A$1048568))</f>
        <v>V002</v>
      </c>
      <c r="G9" s="67">
        <f>IF(D9="","",_xlfn.XLOOKUP(F9,Vendors!A:A,Vendors!G:G))</f>
        <v>45</v>
      </c>
      <c r="H9" s="68">
        <f t="shared" si="3"/>
        <v>46167</v>
      </c>
      <c r="I9" s="76">
        <f>IF(D9="","",SUMIF(Payments!C:C,A9,Payments!G:G))</f>
        <v>0</v>
      </c>
      <c r="J9" s="76">
        <f t="shared" si="1"/>
        <v>7677.95</v>
      </c>
      <c r="K9" s="65" t="str">
        <f t="shared" si="4"/>
        <v>Open</v>
      </c>
      <c r="L9" s="67">
        <f t="shared" ca="1" si="5"/>
        <v>108</v>
      </c>
      <c r="M9" s="65" t="str">
        <f t="shared" ca="1" si="2"/>
        <v>61-90 Days</v>
      </c>
      <c r="N9" s="84" t="s">
        <v>46</v>
      </c>
      <c r="O9" s="84" t="s">
        <v>51</v>
      </c>
    </row>
    <row r="10" spans="1:15">
      <c r="A10" s="84" t="s">
        <v>75</v>
      </c>
      <c r="B10" s="85">
        <v>46153</v>
      </c>
      <c r="C10" s="84" t="s">
        <v>48</v>
      </c>
      <c r="D10" s="86">
        <v>7466.58</v>
      </c>
      <c r="E10" s="65" t="str">
        <f t="shared" si="0"/>
        <v>Main Technology Services</v>
      </c>
      <c r="F10" s="65" t="str">
        <f>IF(E10="","",_xlfn.XLOOKUP(E10,Vendors!B$1:B$1048568,Vendors!A$1:A$1048568))</f>
        <v>V004</v>
      </c>
      <c r="G10" s="67">
        <f>IF(D10="","",_xlfn.XLOOKUP(F10,Vendors!A:A,Vendors!G:G))</f>
        <v>15</v>
      </c>
      <c r="H10" s="68">
        <f t="shared" si="3"/>
        <v>46168</v>
      </c>
      <c r="I10" s="76">
        <f>IF(D10="","",SUMIF(Payments!C:C,A10,Payments!G:G))</f>
        <v>300</v>
      </c>
      <c r="J10" s="76">
        <f t="shared" si="1"/>
        <v>7166.58</v>
      </c>
      <c r="K10" s="65" t="str">
        <f t="shared" si="4"/>
        <v>Open</v>
      </c>
      <c r="L10" s="67">
        <f t="shared" ca="1" si="5"/>
        <v>77</v>
      </c>
      <c r="M10" s="65" t="str">
        <f t="shared" ca="1" si="2"/>
        <v>61-90 Days</v>
      </c>
      <c r="N10" s="84" t="s">
        <v>43</v>
      </c>
      <c r="O10" s="84" t="s">
        <v>49</v>
      </c>
    </row>
    <row r="11" spans="1:15">
      <c r="A11" s="84" t="s">
        <v>76</v>
      </c>
      <c r="B11" s="85">
        <v>46151</v>
      </c>
      <c r="C11" s="84" t="s">
        <v>45</v>
      </c>
      <c r="D11" s="86">
        <v>7255.21</v>
      </c>
      <c r="E11" s="65" t="str">
        <f t="shared" si="0"/>
        <v>ABC Office Supply</v>
      </c>
      <c r="F11" s="65" t="str">
        <f>IF(E11="","",_xlfn.XLOOKUP(E11,Vendors!B$1:B$1048568,Vendors!A$1:A$1048568))</f>
        <v>V001</v>
      </c>
      <c r="G11" s="67">
        <f>IF(D11="","",_xlfn.XLOOKUP(F11,Vendors!A:A,Vendors!G:G))</f>
        <v>30</v>
      </c>
      <c r="H11" s="68">
        <f t="shared" si="3"/>
        <v>46181</v>
      </c>
      <c r="I11" s="76">
        <f>IF(D11="","",SUMIF(Payments!C:C,A11,Payments!G:G))</f>
        <v>2182.33</v>
      </c>
      <c r="J11" s="76">
        <f t="shared" si="1"/>
        <v>5072.88</v>
      </c>
      <c r="K11" s="65" t="str">
        <f t="shared" si="4"/>
        <v>Open</v>
      </c>
      <c r="L11" s="67">
        <f t="shared" ca="1" si="5"/>
        <v>79</v>
      </c>
      <c r="M11" s="65" t="str">
        <f t="shared" ca="1" si="2"/>
        <v>31-60 Days</v>
      </c>
      <c r="N11" s="84" t="s">
        <v>40</v>
      </c>
      <c r="O11" s="84" t="s">
        <v>47</v>
      </c>
    </row>
    <row r="12" spans="1:15">
      <c r="A12" s="84" t="s">
        <v>77</v>
      </c>
      <c r="B12" s="85">
        <v>46186</v>
      </c>
      <c r="C12" s="84" t="s">
        <v>42</v>
      </c>
      <c r="D12" s="86">
        <v>7043.84</v>
      </c>
      <c r="E12" s="65" t="str">
        <f t="shared" si="0"/>
        <v>U Packaging Inc</v>
      </c>
      <c r="F12" s="65" t="str">
        <f>IF(E12="","",_xlfn.XLOOKUP(E12,Vendors!B$1:B$1048568,Vendors!A$1:A$1048568))</f>
        <v>V003</v>
      </c>
      <c r="G12" s="67">
        <f>IF(D12="","",_xlfn.XLOOKUP(F12,Vendors!A:A,Vendors!G:G))</f>
        <v>30</v>
      </c>
      <c r="H12" s="68">
        <f t="shared" si="3"/>
        <v>46216</v>
      </c>
      <c r="I12" s="76">
        <f>IF(D12="","",SUMIF(Payments!C:C,A12,Payments!G:G))</f>
        <v>0</v>
      </c>
      <c r="J12" s="76">
        <f t="shared" si="1"/>
        <v>7043.84</v>
      </c>
      <c r="K12" s="65" t="str">
        <f t="shared" si="4"/>
        <v>Open</v>
      </c>
      <c r="L12" s="67">
        <f t="shared" ca="1" si="5"/>
        <v>44</v>
      </c>
      <c r="M12" s="65" t="str">
        <f t="shared" ref="M12:M19" ca="1" si="6">IF(J12="","",(IF(J12&lt;=0,"Paid",IF(TODAY()&lt;=H12,"Current",IF(TODAY()-H12&lt;=30,"1-30 Days",IF(TODAY()-H12&lt;=60,"31-60 Days",IF(TODAY()-H12&lt;=90,"61-90 Days","90+ Days")))))))</f>
        <v>1-30 Days</v>
      </c>
      <c r="N12" s="84" t="s">
        <v>37</v>
      </c>
      <c r="O12" s="84" t="s">
        <v>44</v>
      </c>
    </row>
    <row r="13" spans="1:15">
      <c r="A13" s="84" t="s">
        <v>78</v>
      </c>
      <c r="B13" s="85">
        <v>46184</v>
      </c>
      <c r="C13" s="84" t="s">
        <v>39</v>
      </c>
      <c r="D13" s="86">
        <v>6832.47</v>
      </c>
      <c r="E13" s="65" t="str">
        <f t="shared" si="0"/>
        <v>XYZ Industrial Parts</v>
      </c>
      <c r="F13" s="65" t="str">
        <f>IF(E13="","",_xlfn.XLOOKUP(E13,Vendors!B$1:B$1048568,Vendors!A$1:A$1048568))</f>
        <v>V002</v>
      </c>
      <c r="G13" s="67">
        <f>IF(D13="","",_xlfn.XLOOKUP(F13,Vendors!A:A,Vendors!G:G))</f>
        <v>45</v>
      </c>
      <c r="H13" s="68">
        <f t="shared" si="3"/>
        <v>46229</v>
      </c>
      <c r="I13" s="76">
        <f>IF(D13="","",SUMIF(Payments!C:C,A13,Payments!G:G))</f>
        <v>0</v>
      </c>
      <c r="J13" s="76">
        <f t="shared" si="1"/>
        <v>6832.47</v>
      </c>
      <c r="K13" s="65" t="str">
        <f t="shared" si="4"/>
        <v>Open</v>
      </c>
      <c r="L13" s="67">
        <f t="shared" ca="1" si="5"/>
        <v>46</v>
      </c>
      <c r="M13" s="65" t="str">
        <f t="shared" ca="1" si="6"/>
        <v>1-30 Days</v>
      </c>
      <c r="N13" s="84" t="s">
        <v>46</v>
      </c>
      <c r="O13" s="84" t="s">
        <v>41</v>
      </c>
    </row>
    <row r="14" spans="1:15">
      <c r="A14" s="84" t="s">
        <v>79</v>
      </c>
      <c r="B14" s="85">
        <v>46182</v>
      </c>
      <c r="C14" s="84" t="s">
        <v>35</v>
      </c>
      <c r="D14" s="86">
        <v>6621.1</v>
      </c>
      <c r="E14" s="65" t="str">
        <f t="shared" si="0"/>
        <v>ABC Office Supply</v>
      </c>
      <c r="F14" s="65" t="str">
        <f>IF(E14="","",_xlfn.XLOOKUP(E14,Vendors!B$1:B$1048568,Vendors!A$1:A$1048568))</f>
        <v>V001</v>
      </c>
      <c r="G14" s="67">
        <f>IF(D14="","",_xlfn.XLOOKUP(F14,Vendors!A:A,Vendors!G:G))</f>
        <v>30</v>
      </c>
      <c r="H14" s="68">
        <f t="shared" si="3"/>
        <v>46212</v>
      </c>
      <c r="I14" s="76">
        <f>IF(D14="","",SUMIF(Payments!C:C,A14,Payments!G:G))</f>
        <v>0</v>
      </c>
      <c r="J14" s="76">
        <f t="shared" si="1"/>
        <v>6621.1</v>
      </c>
      <c r="K14" s="65" t="str">
        <f t="shared" si="4"/>
        <v>Open</v>
      </c>
      <c r="L14" s="67">
        <f t="shared" ca="1" si="5"/>
        <v>48</v>
      </c>
      <c r="M14" s="65" t="str">
        <f t="shared" ca="1" si="6"/>
        <v>1-30 Days</v>
      </c>
      <c r="N14" s="84" t="s">
        <v>43</v>
      </c>
      <c r="O14" s="84" t="s">
        <v>38</v>
      </c>
    </row>
    <row r="15" spans="1:15">
      <c r="A15" s="84" t="s">
        <v>80</v>
      </c>
      <c r="B15" s="85">
        <v>46182</v>
      </c>
      <c r="C15" s="84" t="s">
        <v>52</v>
      </c>
      <c r="D15" s="86">
        <v>1548.22</v>
      </c>
      <c r="E15" s="65" t="str">
        <f t="shared" si="0"/>
        <v>U Packaging Inc</v>
      </c>
      <c r="F15" s="65" t="str">
        <f>IF(E15="","",_xlfn.XLOOKUP(E15,Vendors!B$1:B$1048568,Vendors!A$1:A$1048568))</f>
        <v>V003</v>
      </c>
      <c r="G15" s="67">
        <f>IF(D15="","",_xlfn.XLOOKUP(F15,Vendors!A:A,Vendors!G:G))</f>
        <v>30</v>
      </c>
      <c r="H15" s="68">
        <f t="shared" si="3"/>
        <v>46212</v>
      </c>
      <c r="I15" s="76">
        <f>IF(D15="","",SUMIF(Payments!C:C,A15,Payments!G:G))</f>
        <v>1500</v>
      </c>
      <c r="J15" s="76">
        <f t="shared" si="1"/>
        <v>48.220000000000027</v>
      </c>
      <c r="K15" s="65" t="str">
        <f t="shared" si="4"/>
        <v>Open</v>
      </c>
      <c r="L15" s="67">
        <f t="shared" ca="1" si="5"/>
        <v>48</v>
      </c>
      <c r="M15" s="65" t="str">
        <f t="shared" ca="1" si="6"/>
        <v>1-30 Days</v>
      </c>
      <c r="N15" s="84" t="s">
        <v>43</v>
      </c>
      <c r="O15" s="84" t="s">
        <v>53</v>
      </c>
    </row>
    <row r="16" spans="1:15">
      <c r="A16" s="84" t="s">
        <v>81</v>
      </c>
      <c r="B16" s="85">
        <v>46184</v>
      </c>
      <c r="C16" s="84" t="s">
        <v>50</v>
      </c>
      <c r="D16" s="86">
        <v>1336.85</v>
      </c>
      <c r="E16" s="65" t="str">
        <f t="shared" si="0"/>
        <v>XYZ Industrial Parts</v>
      </c>
      <c r="F16" s="65" t="str">
        <f>IF(E16="","",_xlfn.XLOOKUP(E16,Vendors!B$1:B$1048568,Vendors!A$1:A$1048568))</f>
        <v>V002</v>
      </c>
      <c r="G16" s="67">
        <f>IF(D16="","",_xlfn.XLOOKUP(F16,Vendors!A:A,Vendors!G:G))</f>
        <v>45</v>
      </c>
      <c r="H16" s="68">
        <f t="shared" si="3"/>
        <v>46229</v>
      </c>
      <c r="I16" s="76">
        <f>IF(D16="","",SUMIF(Payments!C:C,A16,Payments!G:G))</f>
        <v>1000</v>
      </c>
      <c r="J16" s="76">
        <f t="shared" si="1"/>
        <v>336.84999999999991</v>
      </c>
      <c r="K16" s="65" t="str">
        <f t="shared" si="4"/>
        <v>Open</v>
      </c>
      <c r="L16" s="67">
        <f t="shared" ca="1" si="5"/>
        <v>46</v>
      </c>
      <c r="M16" s="65" t="str">
        <f t="shared" ca="1" si="6"/>
        <v>1-30 Days</v>
      </c>
      <c r="N16" s="84" t="s">
        <v>40</v>
      </c>
      <c r="O16" s="84" t="s">
        <v>51</v>
      </c>
    </row>
    <row r="17" spans="1:15">
      <c r="A17" s="84" t="s">
        <v>82</v>
      </c>
      <c r="B17" s="85">
        <v>46186</v>
      </c>
      <c r="C17" s="84" t="s">
        <v>48</v>
      </c>
      <c r="D17" s="86">
        <v>1125.48</v>
      </c>
      <c r="E17" s="65" t="str">
        <f t="shared" si="0"/>
        <v>Main Technology Services</v>
      </c>
      <c r="F17" s="65" t="str">
        <f>IF(E17="","",_xlfn.XLOOKUP(E17,Vendors!B$1:B$1048568,Vendors!A$1:A$1048568))</f>
        <v>V004</v>
      </c>
      <c r="G17" s="67">
        <f>IF(D17="","",_xlfn.XLOOKUP(F17,Vendors!A:A,Vendors!G:G))</f>
        <v>15</v>
      </c>
      <c r="H17" s="68">
        <f t="shared" si="3"/>
        <v>46201</v>
      </c>
      <c r="I17" s="76">
        <f>IF(D17="","",SUMIF(Payments!C:C,A17,Payments!G:G))</f>
        <v>500</v>
      </c>
      <c r="J17" s="76">
        <f t="shared" si="1"/>
        <v>625.48</v>
      </c>
      <c r="K17" s="65" t="str">
        <f t="shared" si="4"/>
        <v>Open</v>
      </c>
      <c r="L17" s="67">
        <f t="shared" ca="1" si="5"/>
        <v>44</v>
      </c>
      <c r="M17" s="65" t="str">
        <f t="shared" ca="1" si="6"/>
        <v>1-30 Days</v>
      </c>
      <c r="N17" s="84" t="s">
        <v>37</v>
      </c>
      <c r="O17" s="84" t="s">
        <v>49</v>
      </c>
    </row>
    <row r="18" spans="1:15">
      <c r="A18" s="84" t="s">
        <v>83</v>
      </c>
      <c r="B18" s="85">
        <v>46186</v>
      </c>
      <c r="C18" s="84" t="s">
        <v>42</v>
      </c>
      <c r="D18" s="86">
        <v>280</v>
      </c>
      <c r="E18" s="65" t="str">
        <f t="shared" si="0"/>
        <v>U Packaging Inc</v>
      </c>
      <c r="F18" s="65" t="str">
        <f>IF(E18="","",_xlfn.XLOOKUP(E18,Vendors!B$1:B$1048568,Vendors!A$1:A$1048568))</f>
        <v>V003</v>
      </c>
      <c r="G18" s="67">
        <f>IF(D18="","",_xlfn.XLOOKUP(F18,Vendors!A:A,Vendors!G:G))</f>
        <v>30</v>
      </c>
      <c r="H18" s="68">
        <f t="shared" si="3"/>
        <v>46216</v>
      </c>
      <c r="I18" s="76">
        <f>IF(D18="","",SUMIF(Payments!C:C,A18,Payments!G:G))</f>
        <v>280</v>
      </c>
      <c r="J18" s="76">
        <f t="shared" si="1"/>
        <v>0</v>
      </c>
      <c r="K18" s="65" t="str">
        <f t="shared" si="4"/>
        <v>Paid</v>
      </c>
      <c r="L18" s="67">
        <f t="shared" ca="1" si="5"/>
        <v>0</v>
      </c>
      <c r="M18" s="65" t="str">
        <f t="shared" ca="1" si="6"/>
        <v>Paid</v>
      </c>
      <c r="N18" s="84" t="s">
        <v>37</v>
      </c>
      <c r="O18" s="84" t="s">
        <v>38</v>
      </c>
    </row>
    <row r="19" spans="1:15">
      <c r="A19" s="84" t="s">
        <v>197</v>
      </c>
      <c r="B19" s="85">
        <v>46230</v>
      </c>
      <c r="C19" s="84" t="s">
        <v>196</v>
      </c>
      <c r="D19" s="86">
        <v>210</v>
      </c>
      <c r="E19" s="65" t="str">
        <f>IF(C19="","",_xlfn.XLOOKUP(C19,PONUMBER,POVENDORNAME))</f>
        <v>Water Street LLC</v>
      </c>
      <c r="F19" s="65" t="str">
        <f>IF(E19="","",_xlfn.XLOOKUP(E19,Vendors!B$1:B$1048568,Vendors!A$1:A$1048568))</f>
        <v>V005</v>
      </c>
      <c r="G19" s="67">
        <f>IF(D19="","",_xlfn.XLOOKUP(F19,Vendors!A:A,Vendors!G:G))</f>
        <v>30</v>
      </c>
      <c r="H19" s="68">
        <f t="shared" ref="H19" si="7">IF(B19="","",B19+G19)</f>
        <v>46260</v>
      </c>
      <c r="I19" s="76">
        <f>IF(D19="","",SUMIF(Payments!C:C,A19,Payments!G:G))</f>
        <v>100</v>
      </c>
      <c r="J19" s="76">
        <f t="shared" ref="J19" si="8">IF(D19="","",D19-I19)</f>
        <v>110</v>
      </c>
      <c r="K19" s="65" t="str">
        <f t="shared" si="4"/>
        <v>Open</v>
      </c>
      <c r="L19" s="67">
        <f t="shared" ca="1" si="5"/>
        <v>0</v>
      </c>
      <c r="M19" s="65" t="str">
        <f t="shared" ca="1" si="6"/>
        <v>Current</v>
      </c>
      <c r="N19" s="84" t="s">
        <v>204</v>
      </c>
      <c r="O19" s="84" t="s">
        <v>49</v>
      </c>
    </row>
    <row r="20" spans="1:15">
      <c r="E20" s="65" t="str">
        <f t="shared" ref="E20:E31" si="9">IF(C20="","",_xlfn.XLOOKUP(C20,PONUMBER,POVENDORNAME))</f>
        <v/>
      </c>
      <c r="F20" s="65" t="str">
        <f>IF(E20="","",_xlfn.XLOOKUP(E20,Vendors!B$1:B$1048568,Vendors!A$1:A$1048568))</f>
        <v/>
      </c>
      <c r="G20" s="67" t="str">
        <f>IF(D20="","",_xlfn.XLOOKUP(F20,Vendors!A:A,Vendors!G:G))</f>
        <v/>
      </c>
      <c r="H20" s="68" t="str">
        <f t="shared" ref="H20:H31" si="10">IF(B20="","",B20+G20)</f>
        <v/>
      </c>
      <c r="I20" s="76" t="str">
        <f>IF(D20="","",SUMIF(Payments!C:C,A20,Payments!G:G))</f>
        <v/>
      </c>
      <c r="J20" s="76" t="str">
        <f t="shared" ref="J20:J31" si="11">IF(D20="","",D20-I20)</f>
        <v/>
      </c>
      <c r="K20" s="65" t="str">
        <f t="shared" si="4"/>
        <v/>
      </c>
      <c r="L20" s="67" t="str">
        <f t="shared" ref="L20:L31" ca="1" si="12">IF(J20="","",IF(J20&lt;=0,0,MAX(0,TODAY()-B20)))</f>
        <v/>
      </c>
      <c r="M20" s="65" t="str">
        <f t="shared" ref="M20:M31" ca="1" si="13">IF(J20="","",(IF(J20&lt;=0,"Paid",IF(TODAY()&lt;=H20,"Current",IF(TODAY()-H20&lt;=30,"1-30 Days",IF(TODAY()-H20&lt;=60,"31-60 Days",IF(TODAY()-H20&lt;=90,"61-90 Days","90+ Days")))))))</f>
        <v/>
      </c>
    </row>
    <row r="21" spans="1:15">
      <c r="E21" s="65" t="str">
        <f t="shared" si="9"/>
        <v/>
      </c>
      <c r="F21" s="65" t="str">
        <f>IF(E21="","",_xlfn.XLOOKUP(E21,Vendors!B$1:B$1048568,Vendors!A$1:A$1048568))</f>
        <v/>
      </c>
      <c r="G21" s="67" t="str">
        <f>IF(D21="","",_xlfn.XLOOKUP(F21,Vendors!A:A,Vendors!G:G))</f>
        <v/>
      </c>
      <c r="H21" s="68" t="str">
        <f t="shared" si="10"/>
        <v/>
      </c>
      <c r="I21" s="76" t="str">
        <f>IF(D21="","",SUMIF(Payments!C:C,A21,Payments!G:G))</f>
        <v/>
      </c>
      <c r="J21" s="76" t="str">
        <f t="shared" si="11"/>
        <v/>
      </c>
      <c r="K21" s="65" t="str">
        <f t="shared" si="4"/>
        <v/>
      </c>
      <c r="L21" s="67" t="str">
        <f t="shared" ca="1" si="12"/>
        <v/>
      </c>
      <c r="M21" s="65" t="str">
        <f t="shared" ca="1" si="13"/>
        <v/>
      </c>
    </row>
    <row r="22" spans="1:15">
      <c r="E22" s="65" t="str">
        <f t="shared" si="9"/>
        <v/>
      </c>
      <c r="F22" s="65" t="str">
        <f>IF(E22="","",_xlfn.XLOOKUP(E22,Vendors!B$1:B$1048568,Vendors!A$1:A$1048568))</f>
        <v/>
      </c>
      <c r="G22" s="67" t="str">
        <f>IF(D22="","",_xlfn.XLOOKUP(F22,Vendors!A:A,Vendors!G:G))</f>
        <v/>
      </c>
      <c r="H22" s="68" t="str">
        <f t="shared" si="10"/>
        <v/>
      </c>
      <c r="I22" s="76" t="str">
        <f>IF(D22="","",SUMIF(Payments!C:C,A22,Payments!G:G))</f>
        <v/>
      </c>
      <c r="J22" s="76" t="str">
        <f t="shared" si="11"/>
        <v/>
      </c>
      <c r="K22" s="65" t="str">
        <f t="shared" si="4"/>
        <v/>
      </c>
      <c r="L22" s="67" t="str">
        <f t="shared" ca="1" si="12"/>
        <v/>
      </c>
      <c r="M22" s="65" t="str">
        <f t="shared" ca="1" si="13"/>
        <v/>
      </c>
    </row>
    <row r="23" spans="1:15">
      <c r="E23" s="65" t="str">
        <f t="shared" si="9"/>
        <v/>
      </c>
      <c r="F23" s="65" t="str">
        <f>IF(E23="","",_xlfn.XLOOKUP(E23,Vendors!B$1:B$1048568,Vendors!A$1:A$1048568))</f>
        <v/>
      </c>
      <c r="G23" s="67" t="str">
        <f>IF(D23="","",_xlfn.XLOOKUP(F23,Vendors!A:A,Vendors!G:G))</f>
        <v/>
      </c>
      <c r="H23" s="68" t="str">
        <f t="shared" si="10"/>
        <v/>
      </c>
      <c r="I23" s="76" t="str">
        <f>IF(D23="","",SUMIF(Payments!C:C,A23,Payments!G:G))</f>
        <v/>
      </c>
      <c r="J23" s="76" t="str">
        <f t="shared" si="11"/>
        <v/>
      </c>
      <c r="K23" s="65" t="str">
        <f t="shared" si="4"/>
        <v/>
      </c>
      <c r="L23" s="67" t="str">
        <f t="shared" ca="1" si="12"/>
        <v/>
      </c>
      <c r="M23" s="65" t="str">
        <f t="shared" ca="1" si="13"/>
        <v/>
      </c>
    </row>
    <row r="24" spans="1:15">
      <c r="E24" s="65" t="str">
        <f t="shared" si="9"/>
        <v/>
      </c>
      <c r="F24" s="65" t="str">
        <f>IF(E24="","",_xlfn.XLOOKUP(E24,Vendors!B$1:B$1048568,Vendors!A$1:A$1048568))</f>
        <v/>
      </c>
      <c r="G24" s="67" t="str">
        <f>IF(D24="","",_xlfn.XLOOKUP(F24,Vendors!A:A,Vendors!G:G))</f>
        <v/>
      </c>
      <c r="H24" s="68" t="str">
        <f t="shared" si="10"/>
        <v/>
      </c>
      <c r="I24" s="76" t="str">
        <f>IF(D24="","",SUMIF(Payments!C:C,A24,Payments!G:G))</f>
        <v/>
      </c>
      <c r="J24" s="76" t="str">
        <f t="shared" si="11"/>
        <v/>
      </c>
      <c r="K24" s="65" t="str">
        <f t="shared" si="4"/>
        <v/>
      </c>
      <c r="L24" s="67" t="str">
        <f t="shared" ca="1" si="12"/>
        <v/>
      </c>
      <c r="M24" s="65" t="str">
        <f t="shared" ca="1" si="13"/>
        <v/>
      </c>
    </row>
    <row r="25" spans="1:15">
      <c r="E25" s="65" t="str">
        <f t="shared" si="9"/>
        <v/>
      </c>
      <c r="F25" s="65" t="str">
        <f>IF(E25="","",_xlfn.XLOOKUP(E25,Vendors!B$1:B$1048568,Vendors!A$1:A$1048568))</f>
        <v/>
      </c>
      <c r="G25" s="67" t="str">
        <f>IF(D25="","",_xlfn.XLOOKUP(F25,Vendors!A:A,Vendors!G:G))</f>
        <v/>
      </c>
      <c r="H25" s="68" t="str">
        <f t="shared" si="10"/>
        <v/>
      </c>
      <c r="I25" s="76" t="str">
        <f>IF(D25="","",SUMIF(Payments!C:C,A25,Payments!G:G))</f>
        <v/>
      </c>
      <c r="J25" s="76" t="str">
        <f t="shared" si="11"/>
        <v/>
      </c>
      <c r="K25" s="65" t="str">
        <f t="shared" si="4"/>
        <v/>
      </c>
      <c r="L25" s="67" t="str">
        <f t="shared" ca="1" si="12"/>
        <v/>
      </c>
      <c r="M25" s="65" t="str">
        <f t="shared" ca="1" si="13"/>
        <v/>
      </c>
    </row>
    <row r="26" spans="1:15">
      <c r="E26" s="65" t="str">
        <f t="shared" si="9"/>
        <v/>
      </c>
      <c r="F26" s="65" t="str">
        <f>IF(E26="","",_xlfn.XLOOKUP(E26,Vendors!B$1:B$1048568,Vendors!A$1:A$1048568))</f>
        <v/>
      </c>
      <c r="G26" s="67" t="str">
        <f>IF(D26="","",_xlfn.XLOOKUP(F26,Vendors!A:A,Vendors!G:G))</f>
        <v/>
      </c>
      <c r="H26" s="68" t="str">
        <f t="shared" si="10"/>
        <v/>
      </c>
      <c r="I26" s="76" t="str">
        <f>IF(D26="","",SUMIF(Payments!C:C,A26,Payments!G:G))</f>
        <v/>
      </c>
      <c r="J26" s="76" t="str">
        <f t="shared" si="11"/>
        <v/>
      </c>
      <c r="K26" s="65" t="str">
        <f t="shared" si="4"/>
        <v/>
      </c>
      <c r="L26" s="67" t="str">
        <f t="shared" ca="1" si="12"/>
        <v/>
      </c>
      <c r="M26" s="65" t="str">
        <f t="shared" ca="1" si="13"/>
        <v/>
      </c>
    </row>
    <row r="27" spans="1:15">
      <c r="E27" s="65" t="str">
        <f t="shared" si="9"/>
        <v/>
      </c>
      <c r="F27" s="65" t="str">
        <f>IF(E27="","",_xlfn.XLOOKUP(E27,Vendors!B$1:B$1048568,Vendors!A$1:A$1048568))</f>
        <v/>
      </c>
      <c r="G27" s="67" t="str">
        <f>IF(D27="","",_xlfn.XLOOKUP(F27,Vendors!A:A,Vendors!G:G))</f>
        <v/>
      </c>
      <c r="H27" s="68" t="str">
        <f t="shared" si="10"/>
        <v/>
      </c>
      <c r="I27" s="76" t="str">
        <f>IF(D27="","",SUMIF(Payments!C:C,A27,Payments!G:G))</f>
        <v/>
      </c>
      <c r="J27" s="76" t="str">
        <f t="shared" si="11"/>
        <v/>
      </c>
      <c r="K27" s="65" t="str">
        <f t="shared" si="4"/>
        <v/>
      </c>
      <c r="L27" s="67" t="str">
        <f t="shared" ca="1" si="12"/>
        <v/>
      </c>
      <c r="M27" s="65" t="str">
        <f t="shared" ca="1" si="13"/>
        <v/>
      </c>
    </row>
    <row r="28" spans="1:15">
      <c r="E28" s="65" t="str">
        <f t="shared" si="9"/>
        <v/>
      </c>
      <c r="F28" s="65" t="str">
        <f>IF(E28="","",_xlfn.XLOOKUP(E28,Vendors!B$1:B$1048568,Vendors!A$1:A$1048568))</f>
        <v/>
      </c>
      <c r="G28" s="67" t="str">
        <f>IF(D28="","",_xlfn.XLOOKUP(F28,Vendors!A:A,Vendors!G:G))</f>
        <v/>
      </c>
      <c r="H28" s="68" t="str">
        <f t="shared" si="10"/>
        <v/>
      </c>
      <c r="I28" s="76" t="str">
        <f>IF(D28="","",SUMIF(Payments!C:C,A28,Payments!G:G))</f>
        <v/>
      </c>
      <c r="J28" s="76" t="str">
        <f t="shared" si="11"/>
        <v/>
      </c>
      <c r="K28" s="65" t="str">
        <f t="shared" si="4"/>
        <v/>
      </c>
      <c r="L28" s="67" t="str">
        <f t="shared" ca="1" si="12"/>
        <v/>
      </c>
      <c r="M28" s="65" t="str">
        <f t="shared" ca="1" si="13"/>
        <v/>
      </c>
    </row>
    <row r="29" spans="1:15">
      <c r="E29" s="65" t="str">
        <f t="shared" si="9"/>
        <v/>
      </c>
      <c r="F29" s="65" t="str">
        <f>IF(E29="","",_xlfn.XLOOKUP(E29,Vendors!B$1:B$1048568,Vendors!A$1:A$1048568))</f>
        <v/>
      </c>
      <c r="G29" s="67" t="str">
        <f>IF(D29="","",_xlfn.XLOOKUP(F29,Vendors!A:A,Vendors!G:G))</f>
        <v/>
      </c>
      <c r="H29" s="68" t="str">
        <f t="shared" si="10"/>
        <v/>
      </c>
      <c r="I29" s="76" t="str">
        <f>IF(D29="","",SUMIF(Payments!C:C,A29,Payments!G:G))</f>
        <v/>
      </c>
      <c r="J29" s="76" t="str">
        <f t="shared" si="11"/>
        <v/>
      </c>
      <c r="K29" s="65" t="str">
        <f t="shared" si="4"/>
        <v/>
      </c>
      <c r="L29" s="67" t="str">
        <f t="shared" ca="1" si="12"/>
        <v/>
      </c>
      <c r="M29" s="65" t="str">
        <f t="shared" ca="1" si="13"/>
        <v/>
      </c>
    </row>
    <row r="30" spans="1:15">
      <c r="E30" s="65" t="str">
        <f t="shared" si="9"/>
        <v/>
      </c>
      <c r="F30" s="65" t="str">
        <f>IF(E30="","",_xlfn.XLOOKUP(E30,Vendors!B$1:B$1048568,Vendors!A$1:A$1048568))</f>
        <v/>
      </c>
      <c r="G30" s="67" t="str">
        <f>IF(D30="","",_xlfn.XLOOKUP(F30,Vendors!A:A,Vendors!G:G))</f>
        <v/>
      </c>
      <c r="H30" s="68" t="str">
        <f t="shared" si="10"/>
        <v/>
      </c>
      <c r="I30" s="76" t="str">
        <f>IF(D30="","",SUMIF(Payments!C:C,A30,Payments!G:G))</f>
        <v/>
      </c>
      <c r="J30" s="76" t="str">
        <f t="shared" si="11"/>
        <v/>
      </c>
      <c r="K30" s="65" t="str">
        <f t="shared" si="4"/>
        <v/>
      </c>
      <c r="L30" s="67" t="str">
        <f t="shared" ca="1" si="12"/>
        <v/>
      </c>
      <c r="M30" s="65" t="str">
        <f t="shared" ca="1" si="13"/>
        <v/>
      </c>
    </row>
    <row r="31" spans="1:15">
      <c r="E31" s="65" t="str">
        <f t="shared" si="9"/>
        <v/>
      </c>
      <c r="F31" s="65" t="str">
        <f>IF(E31="","",_xlfn.XLOOKUP(E31,Vendors!B$1:B$1048568,Vendors!A$1:A$1048568))</f>
        <v/>
      </c>
      <c r="G31" s="67" t="str">
        <f>IF(D31="","",_xlfn.XLOOKUP(F31,Vendors!A:A,Vendors!G:G))</f>
        <v/>
      </c>
      <c r="H31" s="68" t="str">
        <f t="shared" si="10"/>
        <v/>
      </c>
      <c r="I31" s="76" t="str">
        <f>IF(D31="","",SUMIF(Payments!C:C,A31,Payments!G:G))</f>
        <v/>
      </c>
      <c r="J31" s="76" t="str">
        <f t="shared" si="11"/>
        <v/>
      </c>
      <c r="K31" s="65" t="str">
        <f t="shared" si="4"/>
        <v/>
      </c>
      <c r="L31" s="67" t="str">
        <f t="shared" ca="1" si="12"/>
        <v/>
      </c>
      <c r="M31" s="65" t="str">
        <f t="shared" ca="1" si="13"/>
        <v/>
      </c>
    </row>
  </sheetData>
  <sheetProtection algorithmName="SHA-512" hashValue="b3/hOvZ9m20OMXnFSycvnAftTlISSY9rW2a0C4NNiNrbC4TNnE32Qi03ksvGR55Zgt4S8voZiqEDQuigajgPug==" saltValue="sOipN9m/Tj0TIfPdSsVBVQ==" spinCount="100000" sheet="1" sort="0" autoFilter="0"/>
  <conditionalFormatting sqref="H2:H31">
    <cfRule type="expression" dxfId="2" priority="22">
      <formula>AND($J2&gt;0,TODAY()&gt;$H2)</formula>
    </cfRule>
    <cfRule type="expression" dxfId="1" priority="23">
      <formula>AND($J2&lt;&gt;"",$J2&gt;0,TODAY()&lt;=$H2)</formula>
    </cfRule>
    <cfRule type="expression" dxfId="0" priority="24">
      <formula>AND($J2&lt;&gt;"",$J2&lt;=0)</formula>
    </cfRule>
  </conditionalFormatting>
  <dataValidations count="1">
    <dataValidation type="list" allowBlank="1" showInputMessage="1" showErrorMessage="1" sqref="C2:C1048576" xr:uid="{9B1C1EDA-B49F-4153-9D62-290C6D884034}">
      <formula1>PONUMBER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0CC6-048B-4594-A3E2-D0E563E7730F}">
  <dimension ref="A1:J159"/>
  <sheetViews>
    <sheetView workbookViewId="0"/>
  </sheetViews>
  <sheetFormatPr defaultRowHeight="14.4"/>
  <cols>
    <col min="1" max="1" width="15.5546875" style="78" customWidth="1"/>
    <col min="2" max="2" width="16.5546875" style="78" customWidth="1"/>
    <col min="3" max="3" width="20" style="78" customWidth="1"/>
    <col min="4" max="4" width="20" style="71" customWidth="1"/>
    <col min="5" max="5" width="31.109375" style="71" customWidth="1"/>
    <col min="6" max="6" width="14.88671875" style="71" customWidth="1"/>
    <col min="7" max="7" width="13.44140625" style="78" customWidth="1"/>
    <col min="8" max="8" width="15.33203125" style="78" customWidth="1"/>
    <col min="9" max="9" width="14.5546875" style="78" customWidth="1"/>
    <col min="10" max="10" width="33.33203125" style="78" customWidth="1"/>
  </cols>
  <sheetData>
    <row r="1" spans="1:10" ht="27.6">
      <c r="A1" s="88" t="s">
        <v>84</v>
      </c>
      <c r="B1" s="89" t="s">
        <v>85</v>
      </c>
      <c r="C1" s="89" t="s">
        <v>58</v>
      </c>
      <c r="D1" s="69" t="s">
        <v>139</v>
      </c>
      <c r="E1" s="69" t="s">
        <v>1</v>
      </c>
      <c r="F1" s="69" t="s">
        <v>0</v>
      </c>
      <c r="G1" s="89" t="s">
        <v>88</v>
      </c>
      <c r="H1" s="89" t="s">
        <v>86</v>
      </c>
      <c r="I1" s="89" t="s">
        <v>87</v>
      </c>
      <c r="J1" s="94" t="s">
        <v>9</v>
      </c>
    </row>
    <row r="2" spans="1:10">
      <c r="A2" s="90" t="s">
        <v>89</v>
      </c>
      <c r="B2" s="91">
        <v>46144</v>
      </c>
      <c r="C2" s="92" t="s">
        <v>68</v>
      </c>
      <c r="D2" s="70" t="str">
        <f>IF(C2="","",_xlfn.XLOOKUP(C2,Invoices!A:A,Invoices!C:C))</f>
        <v>PO-2026-1004</v>
      </c>
      <c r="E2" s="70" t="str">
        <f>IF(C2="","",_xlfn.XLOOKUP(C2,Invoices!A:A,Invoices!E:E))</f>
        <v>ABC Office Supply</v>
      </c>
      <c r="F2" s="70" t="str">
        <f>IF(C2="","",_xlfn.XLOOKUP(C2,Invoices!A:A,Invoices!F:F))</f>
        <v>V001</v>
      </c>
      <c r="G2" s="95">
        <v>491.37</v>
      </c>
      <c r="H2" s="92" t="s">
        <v>90</v>
      </c>
      <c r="I2" s="92" t="s">
        <v>91</v>
      </c>
      <c r="J2" s="96"/>
    </row>
    <row r="3" spans="1:10">
      <c r="A3" s="90" t="s">
        <v>92</v>
      </c>
      <c r="B3" s="91">
        <v>46146</v>
      </c>
      <c r="C3" s="92" t="s">
        <v>69</v>
      </c>
      <c r="D3" s="70" t="str">
        <f>IF(C3="","",_xlfn.XLOOKUP(C3,Invoices!A:A,Invoices!C:C))</f>
        <v>PO-2026-1008</v>
      </c>
      <c r="E3" s="70" t="str">
        <f>IF(C3="","",_xlfn.XLOOKUP(C3,Invoices!A:A,Invoices!E:E))</f>
        <v>ABC Office Supply</v>
      </c>
      <c r="F3" s="70" t="str">
        <f>IF(C3="","",_xlfn.XLOOKUP(C3,Invoices!A:A,Invoices!F:F))</f>
        <v>V001</v>
      </c>
      <c r="G3" s="95">
        <v>702.74</v>
      </c>
      <c r="H3" s="92" t="s">
        <v>93</v>
      </c>
      <c r="I3" s="92" t="s">
        <v>94</v>
      </c>
      <c r="J3" s="96"/>
    </row>
    <row r="4" spans="1:10">
      <c r="A4" s="90" t="s">
        <v>95</v>
      </c>
      <c r="B4" s="91">
        <v>46143</v>
      </c>
      <c r="C4" s="92" t="s">
        <v>70</v>
      </c>
      <c r="D4" s="70" t="str">
        <f>IF(C4="","",_xlfn.XLOOKUP(C4,Invoices!A:A,Invoices!C:C))</f>
        <v>PO-2026-1008</v>
      </c>
      <c r="E4" s="70" t="str">
        <f>IF(C4="","",_xlfn.XLOOKUP(C4,Invoices!A:A,Invoices!E:E))</f>
        <v>ABC Office Supply</v>
      </c>
      <c r="F4" s="70" t="str">
        <f>IF(C4="","",_xlfn.XLOOKUP(C4,Invoices!A:A,Invoices!F:F))</f>
        <v>V001</v>
      </c>
      <c r="G4" s="95">
        <v>700.69</v>
      </c>
      <c r="H4" s="92" t="s">
        <v>96</v>
      </c>
      <c r="I4" s="92" t="s">
        <v>97</v>
      </c>
      <c r="J4" s="96"/>
    </row>
    <row r="5" spans="1:10">
      <c r="A5" s="90" t="s">
        <v>98</v>
      </c>
      <c r="B5" s="91">
        <v>46142</v>
      </c>
      <c r="C5" s="92" t="s">
        <v>71</v>
      </c>
      <c r="D5" s="70" t="str">
        <f>IF(C5="","",_xlfn.XLOOKUP(C5,Invoices!A:A,Invoices!C:C))</f>
        <v>PO-2026-1009</v>
      </c>
      <c r="E5" s="70" t="str">
        <f>IF(C5="","",_xlfn.XLOOKUP(C5,Invoices!A:A,Invoices!E:E))</f>
        <v>XYZ Industrial Parts</v>
      </c>
      <c r="F5" s="70" t="str">
        <f>IF(C5="","",_xlfn.XLOOKUP(C5,Invoices!A:A,Invoices!F:F))</f>
        <v>V002</v>
      </c>
      <c r="G5" s="95">
        <v>562.74</v>
      </c>
      <c r="H5" s="92" t="s">
        <v>96</v>
      </c>
      <c r="I5" s="92" t="s">
        <v>99</v>
      </c>
      <c r="J5" s="96"/>
    </row>
    <row r="6" spans="1:10">
      <c r="A6" s="90" t="s">
        <v>100</v>
      </c>
      <c r="B6" s="91">
        <v>46158</v>
      </c>
      <c r="C6" s="92" t="s">
        <v>75</v>
      </c>
      <c r="D6" s="70" t="str">
        <f>IF(C6="","",_xlfn.XLOOKUP(C6,Invoices!A:A,Invoices!C:C))</f>
        <v>PO-2026-1005</v>
      </c>
      <c r="E6" s="70" t="str">
        <f>IF(C6="","",_xlfn.XLOOKUP(C6,Invoices!A:A,Invoices!E:E))</f>
        <v>Main Technology Services</v>
      </c>
      <c r="F6" s="70" t="str">
        <f>IF(C6="","",_xlfn.XLOOKUP(C6,Invoices!A:A,Invoices!F:F))</f>
        <v>V004</v>
      </c>
      <c r="G6" s="95">
        <v>300</v>
      </c>
      <c r="H6" s="92" t="s">
        <v>93</v>
      </c>
      <c r="I6" s="92" t="s">
        <v>101</v>
      </c>
      <c r="J6" s="96"/>
    </row>
    <row r="7" spans="1:10">
      <c r="A7" s="90" t="s">
        <v>102</v>
      </c>
      <c r="B7" s="91">
        <v>46155</v>
      </c>
      <c r="C7" s="92" t="s">
        <v>76</v>
      </c>
      <c r="D7" s="70" t="str">
        <f>IF(C7="","",_xlfn.XLOOKUP(C7,Invoices!A:A,Invoices!C:C))</f>
        <v>PO-2026-1004</v>
      </c>
      <c r="E7" s="70" t="str">
        <f>IF(C7="","",_xlfn.XLOOKUP(C7,Invoices!A:A,Invoices!E:E))</f>
        <v>ABC Office Supply</v>
      </c>
      <c r="F7" s="70" t="str">
        <f>IF(C7="","",_xlfn.XLOOKUP(C7,Invoices!A:A,Invoices!F:F))</f>
        <v>V001</v>
      </c>
      <c r="G7" s="95">
        <v>2182.33</v>
      </c>
      <c r="H7" s="92" t="s">
        <v>96</v>
      </c>
      <c r="I7" s="92" t="s">
        <v>103</v>
      </c>
      <c r="J7" s="96"/>
    </row>
    <row r="8" spans="1:10">
      <c r="A8" s="90" t="s">
        <v>104</v>
      </c>
      <c r="B8" s="91">
        <v>46163</v>
      </c>
      <c r="C8" s="92" t="s">
        <v>80</v>
      </c>
      <c r="D8" s="70" t="str">
        <f>IF(C8="","",_xlfn.XLOOKUP(C8,Invoices!A:A,Invoices!C:C))</f>
        <v>PO-2026-1007</v>
      </c>
      <c r="E8" s="70" t="str">
        <f>IF(C8="","",_xlfn.XLOOKUP(C8,Invoices!A:A,Invoices!E:E))</f>
        <v>U Packaging Inc</v>
      </c>
      <c r="F8" s="70" t="str">
        <f>IF(C8="","",_xlfn.XLOOKUP(C8,Invoices!A:A,Invoices!F:F))</f>
        <v>V003</v>
      </c>
      <c r="G8" s="95">
        <v>1500</v>
      </c>
      <c r="H8" s="92" t="s">
        <v>90</v>
      </c>
      <c r="I8" s="92" t="s">
        <v>105</v>
      </c>
      <c r="J8" s="96"/>
    </row>
    <row r="9" spans="1:10">
      <c r="A9" s="90" t="s">
        <v>106</v>
      </c>
      <c r="B9" s="91">
        <v>46170</v>
      </c>
      <c r="C9" s="92" t="s">
        <v>81</v>
      </c>
      <c r="D9" s="70" t="str">
        <f>IF(C9="","",_xlfn.XLOOKUP(C9,Invoices!A:A,Invoices!C:C))</f>
        <v>PO-2026-1006</v>
      </c>
      <c r="E9" s="70" t="str">
        <f>IF(C9="","",_xlfn.XLOOKUP(C9,Invoices!A:A,Invoices!E:E))</f>
        <v>XYZ Industrial Parts</v>
      </c>
      <c r="F9" s="70" t="str">
        <f>IF(C9="","",_xlfn.XLOOKUP(C9,Invoices!A:A,Invoices!F:F))</f>
        <v>V002</v>
      </c>
      <c r="G9" s="95">
        <v>1000</v>
      </c>
      <c r="H9" s="92" t="s">
        <v>93</v>
      </c>
      <c r="I9" s="92" t="s">
        <v>107</v>
      </c>
      <c r="J9" s="96"/>
    </row>
    <row r="10" spans="1:10">
      <c r="A10" s="90" t="s">
        <v>108</v>
      </c>
      <c r="B10" s="91">
        <v>46172</v>
      </c>
      <c r="C10" s="92" t="s">
        <v>82</v>
      </c>
      <c r="D10" s="70" t="str">
        <f>IF(C10="","",_xlfn.XLOOKUP(C10,Invoices!A:A,Invoices!C:C))</f>
        <v>PO-2026-1005</v>
      </c>
      <c r="E10" s="70" t="str">
        <f>IF(C10="","",_xlfn.XLOOKUP(C10,Invoices!A:A,Invoices!E:E))</f>
        <v>Main Technology Services</v>
      </c>
      <c r="F10" s="70" t="str">
        <f>IF(C10="","",_xlfn.XLOOKUP(C10,Invoices!A:A,Invoices!F:F))</f>
        <v>V004</v>
      </c>
      <c r="G10" s="95">
        <v>500</v>
      </c>
      <c r="H10" s="92" t="s">
        <v>96</v>
      </c>
      <c r="I10" s="92" t="s">
        <v>109</v>
      </c>
      <c r="J10" s="96"/>
    </row>
    <row r="11" spans="1:10">
      <c r="A11" s="90" t="s">
        <v>110</v>
      </c>
      <c r="B11" s="91">
        <v>46166</v>
      </c>
      <c r="C11" s="92" t="s">
        <v>83</v>
      </c>
      <c r="D11" s="70" t="str">
        <f>IF(C11="","",_xlfn.XLOOKUP(C11,Invoices!A:A,Invoices!C:C))</f>
        <v>PO-2026-1003</v>
      </c>
      <c r="E11" s="70" t="str">
        <f>IF(C11="","",_xlfn.XLOOKUP(C11,Invoices!A:A,Invoices!E:E))</f>
        <v>U Packaging Inc</v>
      </c>
      <c r="F11" s="70" t="str">
        <f>IF(C11="","",_xlfn.XLOOKUP(C11,Invoices!A:A,Invoices!F:F))</f>
        <v>V003</v>
      </c>
      <c r="G11" s="95">
        <v>280</v>
      </c>
      <c r="H11" s="92" t="s">
        <v>96</v>
      </c>
      <c r="I11" s="92" t="s">
        <v>111</v>
      </c>
      <c r="J11" s="96"/>
    </row>
    <row r="12" spans="1:10">
      <c r="A12" s="90" t="s">
        <v>110</v>
      </c>
      <c r="B12" s="93">
        <v>46230</v>
      </c>
      <c r="C12" s="78" t="s">
        <v>197</v>
      </c>
      <c r="D12" s="70" t="str">
        <f>IF(C12="","",_xlfn.XLOOKUP(C12,Invoices!A:A,Invoices!C:C))</f>
        <v>PO-2026-1010</v>
      </c>
      <c r="E12" s="70" t="str">
        <f>IF(C12="","",_xlfn.XLOOKUP(C12,Invoices!A:A,Invoices!E:E))</f>
        <v>Water Street LLC</v>
      </c>
      <c r="F12" s="70" t="str">
        <f>IF(C12="","",_xlfn.XLOOKUP(C12,Invoices!A:A,Invoices!F:F))</f>
        <v>V005</v>
      </c>
      <c r="G12" s="97">
        <v>100</v>
      </c>
      <c r="H12" s="92" t="s">
        <v>90</v>
      </c>
      <c r="I12" s="92" t="s">
        <v>205</v>
      </c>
    </row>
    <row r="13" spans="1:10">
      <c r="B13" s="93"/>
      <c r="D13" s="70" t="str">
        <f>IF(C13="","",_xlfn.XLOOKUP(C13,Invoices!A:A,Invoices!C:C))</f>
        <v/>
      </c>
      <c r="E13" s="70" t="str">
        <f>IF(C13="","",_xlfn.XLOOKUP(C13,Invoices!A:A,Invoices!E:E))</f>
        <v/>
      </c>
      <c r="F13" s="70" t="str">
        <f>IF(C13="","",_xlfn.XLOOKUP(C13,Invoices!A:A,Invoices!F:F))</f>
        <v/>
      </c>
      <c r="G13" s="97"/>
    </row>
    <row r="14" spans="1:10">
      <c r="B14" s="93"/>
      <c r="D14" s="70" t="str">
        <f>IF(C14="","",_xlfn.XLOOKUP(C14,Invoices!A:A,Invoices!C:C))</f>
        <v/>
      </c>
      <c r="E14" s="70" t="str">
        <f>IF(C14="","",_xlfn.XLOOKUP(C14,Invoices!A:A,Invoices!E:E))</f>
        <v/>
      </c>
      <c r="F14" s="70" t="str">
        <f>IF(C14="","",_xlfn.XLOOKUP(C14,Invoices!A:A,Invoices!F:F))</f>
        <v/>
      </c>
      <c r="G14" s="97"/>
    </row>
    <row r="15" spans="1:10">
      <c r="B15" s="93"/>
      <c r="D15" s="70" t="str">
        <f>IF(C15="","",_xlfn.XLOOKUP(C15,Invoices!A:A,Invoices!C:C))</f>
        <v/>
      </c>
      <c r="E15" s="70" t="str">
        <f>IF(C15="","",_xlfn.XLOOKUP(C15,Invoices!A:A,Invoices!E:E))</f>
        <v/>
      </c>
      <c r="F15" s="70" t="str">
        <f>IF(C15="","",_xlfn.XLOOKUP(C15,Invoices!A:A,Invoices!F:F))</f>
        <v/>
      </c>
      <c r="G15" s="97"/>
    </row>
    <row r="16" spans="1:10">
      <c r="B16" s="93"/>
      <c r="D16" s="70" t="str">
        <f>IF(C16="","",_xlfn.XLOOKUP(C16,Invoices!A:A,Invoices!C:C))</f>
        <v/>
      </c>
      <c r="E16" s="70" t="str">
        <f>IF(C16="","",_xlfn.XLOOKUP(C16,Invoices!A:A,Invoices!E:E))</f>
        <v/>
      </c>
      <c r="F16" s="70" t="str">
        <f>IF(C16="","",_xlfn.XLOOKUP(C16,Invoices!A:A,Invoices!F:F))</f>
        <v/>
      </c>
      <c r="G16" s="97"/>
    </row>
    <row r="17" spans="2:7">
      <c r="B17" s="93"/>
      <c r="D17" s="70" t="str">
        <f>IF(C17="","",_xlfn.XLOOKUP(C17,Invoices!A:A,Invoices!C:C))</f>
        <v/>
      </c>
      <c r="E17" s="70" t="str">
        <f>IF(C17="","",_xlfn.XLOOKUP(C17,Invoices!A:A,Invoices!E:E))</f>
        <v/>
      </c>
      <c r="F17" s="70" t="str">
        <f>IF(C17="","",_xlfn.XLOOKUP(C17,Invoices!A:A,Invoices!F:F))</f>
        <v/>
      </c>
      <c r="G17" s="97"/>
    </row>
    <row r="18" spans="2:7">
      <c r="B18" s="93"/>
      <c r="D18" s="70" t="str">
        <f>IF(C18="","",_xlfn.XLOOKUP(C18,Invoices!A:A,Invoices!C:C))</f>
        <v/>
      </c>
      <c r="E18" s="70" t="str">
        <f>IF(C18="","",_xlfn.XLOOKUP(C18,Invoices!A:A,Invoices!E:E))</f>
        <v/>
      </c>
      <c r="F18" s="70" t="str">
        <f>IF(C18="","",_xlfn.XLOOKUP(C18,Invoices!A:A,Invoices!F:F))</f>
        <v/>
      </c>
      <c r="G18" s="97"/>
    </row>
    <row r="19" spans="2:7">
      <c r="B19" s="93"/>
      <c r="D19" s="70" t="str">
        <f>IF(C19="","",_xlfn.XLOOKUP(C19,Invoices!A:A,Invoices!C:C))</f>
        <v/>
      </c>
      <c r="E19" s="70" t="str">
        <f>IF(C19="","",_xlfn.XLOOKUP(C19,Invoices!A:A,Invoices!E:E))</f>
        <v/>
      </c>
      <c r="F19" s="70" t="str">
        <f>IF(C19="","",_xlfn.XLOOKUP(C19,Invoices!A:A,Invoices!F:F))</f>
        <v/>
      </c>
      <c r="G19" s="97"/>
    </row>
    <row r="20" spans="2:7">
      <c r="B20" s="93"/>
      <c r="D20" s="70" t="str">
        <f>IF(C20="","",_xlfn.XLOOKUP(C20,Invoices!A:A,Invoices!C:C))</f>
        <v/>
      </c>
      <c r="E20" s="70" t="str">
        <f>IF(C20="","",_xlfn.XLOOKUP(C20,Invoices!A:A,Invoices!E:E))</f>
        <v/>
      </c>
      <c r="F20" s="70" t="str">
        <f>IF(C20="","",_xlfn.XLOOKUP(C20,Invoices!A:A,Invoices!F:F))</f>
        <v/>
      </c>
      <c r="G20" s="97"/>
    </row>
    <row r="21" spans="2:7">
      <c r="B21" s="93"/>
      <c r="D21" s="70" t="str">
        <f>IF(C21="","",_xlfn.XLOOKUP(C21,Invoices!A:A,Invoices!C:C))</f>
        <v/>
      </c>
      <c r="E21" s="70" t="str">
        <f>IF(C21="","",_xlfn.XLOOKUP(C21,Invoices!A:A,Invoices!E:E))</f>
        <v/>
      </c>
      <c r="F21" s="70" t="str">
        <f>IF(C21="","",_xlfn.XLOOKUP(C21,Invoices!A:A,Invoices!F:F))</f>
        <v/>
      </c>
      <c r="G21" s="97"/>
    </row>
    <row r="22" spans="2:7">
      <c r="B22" s="93"/>
      <c r="D22" s="70" t="str">
        <f>IF(C22="","",_xlfn.XLOOKUP(C22,Invoices!A:A,Invoices!C:C))</f>
        <v/>
      </c>
      <c r="E22" s="70" t="str">
        <f>IF(C22="","",_xlfn.XLOOKUP(C22,Invoices!A:A,Invoices!E:E))</f>
        <v/>
      </c>
      <c r="F22" s="70" t="str">
        <f>IF(C22="","",_xlfn.XLOOKUP(C22,Invoices!A:A,Invoices!F:F))</f>
        <v/>
      </c>
      <c r="G22" s="97"/>
    </row>
    <row r="23" spans="2:7">
      <c r="B23" s="93"/>
      <c r="D23" s="70" t="str">
        <f>IF(C23="","",_xlfn.XLOOKUP(C23,Invoices!A:A,Invoices!C:C))</f>
        <v/>
      </c>
      <c r="E23" s="70" t="str">
        <f>IF(C23="","",_xlfn.XLOOKUP(C23,Invoices!A:A,Invoices!E:E))</f>
        <v/>
      </c>
      <c r="F23" s="70" t="str">
        <f>IF(C23="","",_xlfn.XLOOKUP(C23,Invoices!A:A,Invoices!F:F))</f>
        <v/>
      </c>
      <c r="G23" s="97"/>
    </row>
    <row r="24" spans="2:7">
      <c r="B24" s="93"/>
      <c r="G24" s="97"/>
    </row>
    <row r="25" spans="2:7">
      <c r="B25" s="93"/>
      <c r="G25" s="97"/>
    </row>
    <row r="26" spans="2:7">
      <c r="B26" s="93"/>
      <c r="G26" s="97"/>
    </row>
    <row r="27" spans="2:7">
      <c r="B27" s="93"/>
      <c r="G27" s="97"/>
    </row>
    <row r="28" spans="2:7">
      <c r="B28" s="93"/>
      <c r="G28" s="97"/>
    </row>
    <row r="29" spans="2:7">
      <c r="B29" s="93"/>
      <c r="G29" s="97"/>
    </row>
    <row r="30" spans="2:7">
      <c r="B30" s="93"/>
      <c r="G30" s="97"/>
    </row>
    <row r="31" spans="2:7">
      <c r="B31" s="93"/>
      <c r="G31" s="97"/>
    </row>
    <row r="32" spans="2:7">
      <c r="B32" s="93"/>
      <c r="G32" s="97"/>
    </row>
    <row r="33" spans="2:7">
      <c r="B33" s="93"/>
      <c r="G33" s="97"/>
    </row>
    <row r="34" spans="2:7">
      <c r="B34" s="93"/>
      <c r="G34" s="97"/>
    </row>
    <row r="35" spans="2:7">
      <c r="B35" s="93"/>
      <c r="G35" s="97"/>
    </row>
    <row r="36" spans="2:7">
      <c r="B36" s="93"/>
    </row>
    <row r="37" spans="2:7">
      <c r="B37" s="93"/>
    </row>
    <row r="38" spans="2:7">
      <c r="B38" s="93"/>
    </row>
    <row r="39" spans="2:7">
      <c r="B39" s="93"/>
    </row>
    <row r="40" spans="2:7">
      <c r="B40" s="93"/>
    </row>
    <row r="41" spans="2:7">
      <c r="B41" s="93"/>
    </row>
    <row r="42" spans="2:7">
      <c r="B42" s="93"/>
    </row>
    <row r="43" spans="2:7">
      <c r="B43" s="93"/>
    </row>
    <row r="44" spans="2:7">
      <c r="B44" s="93"/>
    </row>
    <row r="45" spans="2:7">
      <c r="B45" s="93"/>
    </row>
    <row r="46" spans="2:7">
      <c r="B46" s="93"/>
    </row>
    <row r="47" spans="2:7">
      <c r="B47" s="93"/>
    </row>
    <row r="48" spans="2:7">
      <c r="B48" s="93"/>
    </row>
    <row r="49" spans="2:2">
      <c r="B49" s="93"/>
    </row>
    <row r="50" spans="2:2">
      <c r="B50" s="93"/>
    </row>
    <row r="51" spans="2:2">
      <c r="B51" s="93"/>
    </row>
    <row r="52" spans="2:2">
      <c r="B52" s="93"/>
    </row>
    <row r="53" spans="2:2">
      <c r="B53" s="93"/>
    </row>
    <row r="54" spans="2:2">
      <c r="B54" s="93"/>
    </row>
    <row r="55" spans="2:2">
      <c r="B55" s="93"/>
    </row>
    <row r="56" spans="2:2">
      <c r="B56" s="93"/>
    </row>
    <row r="57" spans="2:2">
      <c r="B57" s="93"/>
    </row>
    <row r="58" spans="2:2">
      <c r="B58" s="93"/>
    </row>
    <row r="59" spans="2:2">
      <c r="B59" s="93"/>
    </row>
    <row r="60" spans="2:2">
      <c r="B60" s="93"/>
    </row>
    <row r="61" spans="2:2">
      <c r="B61" s="93"/>
    </row>
    <row r="62" spans="2:2">
      <c r="B62" s="93"/>
    </row>
    <row r="63" spans="2:2">
      <c r="B63" s="93"/>
    </row>
    <row r="64" spans="2:2">
      <c r="B64" s="93"/>
    </row>
    <row r="65" spans="2:2">
      <c r="B65" s="93"/>
    </row>
    <row r="66" spans="2:2">
      <c r="B66" s="93"/>
    </row>
    <row r="67" spans="2:2">
      <c r="B67" s="93"/>
    </row>
    <row r="68" spans="2:2">
      <c r="B68" s="93"/>
    </row>
    <row r="69" spans="2:2">
      <c r="B69" s="93"/>
    </row>
    <row r="70" spans="2:2">
      <c r="B70" s="93"/>
    </row>
    <row r="71" spans="2:2">
      <c r="B71" s="93"/>
    </row>
    <row r="72" spans="2:2">
      <c r="B72" s="93"/>
    </row>
    <row r="73" spans="2:2">
      <c r="B73" s="93"/>
    </row>
    <row r="74" spans="2:2">
      <c r="B74" s="93"/>
    </row>
    <row r="75" spans="2:2">
      <c r="B75" s="93"/>
    </row>
    <row r="76" spans="2:2">
      <c r="B76" s="93"/>
    </row>
    <row r="77" spans="2:2">
      <c r="B77" s="93"/>
    </row>
    <row r="78" spans="2:2">
      <c r="B78" s="93"/>
    </row>
    <row r="79" spans="2:2">
      <c r="B79" s="93"/>
    </row>
    <row r="80" spans="2:2">
      <c r="B80" s="93"/>
    </row>
    <row r="81" spans="2:2">
      <c r="B81" s="93"/>
    </row>
    <row r="82" spans="2:2">
      <c r="B82" s="93"/>
    </row>
    <row r="83" spans="2:2">
      <c r="B83" s="93"/>
    </row>
    <row r="84" spans="2:2">
      <c r="B84" s="93"/>
    </row>
    <row r="85" spans="2:2">
      <c r="B85" s="93"/>
    </row>
    <row r="86" spans="2:2">
      <c r="B86" s="93"/>
    </row>
    <row r="87" spans="2:2">
      <c r="B87" s="93"/>
    </row>
    <row r="88" spans="2:2">
      <c r="B88" s="93"/>
    </row>
    <row r="89" spans="2:2">
      <c r="B89" s="93"/>
    </row>
    <row r="90" spans="2:2">
      <c r="B90" s="93"/>
    </row>
    <row r="91" spans="2:2">
      <c r="B91" s="93"/>
    </row>
    <row r="92" spans="2:2">
      <c r="B92" s="93"/>
    </row>
    <row r="93" spans="2:2">
      <c r="B93" s="93"/>
    </row>
    <row r="94" spans="2:2">
      <c r="B94" s="93"/>
    </row>
    <row r="95" spans="2:2">
      <c r="B95" s="93"/>
    </row>
    <row r="96" spans="2:2">
      <c r="B96" s="93"/>
    </row>
    <row r="97" spans="2:2">
      <c r="B97" s="93"/>
    </row>
    <row r="98" spans="2:2">
      <c r="B98" s="93"/>
    </row>
    <row r="99" spans="2:2">
      <c r="B99" s="93"/>
    </row>
    <row r="100" spans="2:2">
      <c r="B100" s="93"/>
    </row>
    <row r="101" spans="2:2">
      <c r="B101" s="93"/>
    </row>
    <row r="102" spans="2:2">
      <c r="B102" s="93"/>
    </row>
    <row r="103" spans="2:2">
      <c r="B103" s="93"/>
    </row>
    <row r="104" spans="2:2">
      <c r="B104" s="93"/>
    </row>
    <row r="105" spans="2:2">
      <c r="B105" s="93"/>
    </row>
    <row r="106" spans="2:2">
      <c r="B106" s="93"/>
    </row>
    <row r="107" spans="2:2">
      <c r="B107" s="93"/>
    </row>
    <row r="108" spans="2:2">
      <c r="B108" s="93"/>
    </row>
    <row r="109" spans="2:2">
      <c r="B109" s="93"/>
    </row>
    <row r="110" spans="2:2">
      <c r="B110" s="93"/>
    </row>
    <row r="111" spans="2:2">
      <c r="B111" s="93"/>
    </row>
    <row r="112" spans="2:2">
      <c r="B112" s="93"/>
    </row>
    <row r="113" spans="2:2">
      <c r="B113" s="93"/>
    </row>
    <row r="114" spans="2:2">
      <c r="B114" s="93"/>
    </row>
    <row r="115" spans="2:2">
      <c r="B115" s="93"/>
    </row>
    <row r="116" spans="2:2">
      <c r="B116" s="93"/>
    </row>
    <row r="117" spans="2:2">
      <c r="B117" s="93"/>
    </row>
    <row r="118" spans="2:2">
      <c r="B118" s="93"/>
    </row>
    <row r="119" spans="2:2">
      <c r="B119" s="93"/>
    </row>
    <row r="120" spans="2:2">
      <c r="B120" s="93"/>
    </row>
    <row r="121" spans="2:2">
      <c r="B121" s="93"/>
    </row>
    <row r="122" spans="2:2">
      <c r="B122" s="93"/>
    </row>
    <row r="123" spans="2:2">
      <c r="B123" s="93"/>
    </row>
    <row r="124" spans="2:2">
      <c r="B124" s="93"/>
    </row>
    <row r="125" spans="2:2">
      <c r="B125" s="93"/>
    </row>
    <row r="126" spans="2:2">
      <c r="B126" s="93"/>
    </row>
    <row r="127" spans="2:2">
      <c r="B127" s="93"/>
    </row>
    <row r="128" spans="2:2">
      <c r="B128" s="93"/>
    </row>
    <row r="129" spans="2:2">
      <c r="B129" s="93"/>
    </row>
    <row r="130" spans="2:2">
      <c r="B130" s="93"/>
    </row>
    <row r="131" spans="2:2">
      <c r="B131" s="93"/>
    </row>
    <row r="132" spans="2:2">
      <c r="B132" s="93"/>
    </row>
    <row r="133" spans="2:2">
      <c r="B133" s="93"/>
    </row>
    <row r="134" spans="2:2">
      <c r="B134" s="93"/>
    </row>
    <row r="135" spans="2:2">
      <c r="B135" s="93"/>
    </row>
    <row r="136" spans="2:2">
      <c r="B136" s="93"/>
    </row>
    <row r="137" spans="2:2">
      <c r="B137" s="93"/>
    </row>
    <row r="138" spans="2:2">
      <c r="B138" s="93"/>
    </row>
    <row r="139" spans="2:2">
      <c r="B139" s="93"/>
    </row>
    <row r="140" spans="2:2">
      <c r="B140" s="93"/>
    </row>
    <row r="141" spans="2:2">
      <c r="B141" s="93"/>
    </row>
    <row r="142" spans="2:2">
      <c r="B142" s="93"/>
    </row>
    <row r="143" spans="2:2">
      <c r="B143" s="93"/>
    </row>
    <row r="144" spans="2:2">
      <c r="B144" s="93"/>
    </row>
    <row r="145" spans="2:2">
      <c r="B145" s="93"/>
    </row>
    <row r="146" spans="2:2">
      <c r="B146" s="93"/>
    </row>
    <row r="147" spans="2:2">
      <c r="B147" s="93"/>
    </row>
    <row r="148" spans="2:2">
      <c r="B148" s="93"/>
    </row>
    <row r="149" spans="2:2">
      <c r="B149" s="93"/>
    </row>
    <row r="150" spans="2:2">
      <c r="B150" s="93"/>
    </row>
    <row r="151" spans="2:2">
      <c r="B151" s="93"/>
    </row>
    <row r="152" spans="2:2">
      <c r="B152" s="93"/>
    </row>
    <row r="153" spans="2:2">
      <c r="B153" s="93"/>
    </row>
    <row r="154" spans="2:2">
      <c r="B154" s="93"/>
    </row>
    <row r="155" spans="2:2">
      <c r="B155" s="93"/>
    </row>
    <row r="156" spans="2:2">
      <c r="B156" s="93"/>
    </row>
    <row r="157" spans="2:2">
      <c r="B157" s="93"/>
    </row>
    <row r="158" spans="2:2">
      <c r="B158" s="93"/>
    </row>
    <row r="159" spans="2:2">
      <c r="B159" s="93"/>
    </row>
  </sheetData>
  <sheetProtection algorithmName="SHA-512" hashValue="5Ez08uacpP2m+avQch5vLp+46T47VyfnS4Wd+i7zQoHF3Xgqrb/FyVn90REP0p1Pg3CHaZeykjxsciMg4LtaPw==" saltValue="6kq8dd1u0LyQlOFSkSJmyA==" spinCount="100000" sheet="1" objects="1" scenarios="1" sort="0" autoFilter="0"/>
  <dataValidations count="2">
    <dataValidation type="date" allowBlank="1" showInputMessage="1" showErrorMessage="1" sqref="B1:B1048576" xr:uid="{47DD9AD6-B871-411B-A540-3B8E01C89CC7}">
      <formula1>45658</formula1>
      <formula2>46752</formula2>
    </dataValidation>
    <dataValidation type="list" allowBlank="1" showInputMessage="1" showErrorMessage="1" sqref="C2:C1048576" xr:uid="{1A1C6D08-C0BE-40C0-BFC9-3C944AC6A3CB}">
      <formula1>INVOICENUMBER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BBA1-2A23-4186-A802-0522CBDA5520}">
  <dimension ref="A1:K12"/>
  <sheetViews>
    <sheetView workbookViewId="0">
      <selection activeCell="D21" sqref="D21"/>
    </sheetView>
  </sheetViews>
  <sheetFormatPr defaultRowHeight="14.4"/>
  <cols>
    <col min="1" max="1" width="14.109375" customWidth="1"/>
    <col min="2" max="2" width="25.77734375" bestFit="1" customWidth="1"/>
    <col min="3" max="3" width="17.33203125" bestFit="1" customWidth="1"/>
    <col min="4" max="4" width="16.5546875" customWidth="1"/>
    <col min="5" max="5" width="13.21875" bestFit="1" customWidth="1"/>
    <col min="6" max="6" width="30.33203125" bestFit="1" customWidth="1"/>
    <col min="7" max="7" width="18.33203125" customWidth="1"/>
    <col min="8" max="8" width="19.77734375" customWidth="1"/>
    <col min="9" max="9" width="14.88671875" customWidth="1"/>
    <col min="10" max="10" width="13.21875" customWidth="1"/>
    <col min="11" max="11" width="31.21875" customWidth="1"/>
  </cols>
  <sheetData>
    <row r="1" spans="1:1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153</v>
      </c>
      <c r="H1" s="23" t="s">
        <v>6</v>
      </c>
      <c r="I1" s="23" t="s">
        <v>7</v>
      </c>
      <c r="J1" s="23" t="s">
        <v>8</v>
      </c>
      <c r="K1" s="24" t="s">
        <v>9</v>
      </c>
    </row>
    <row r="2" spans="1:11">
      <c r="A2" s="19" t="s">
        <v>10</v>
      </c>
      <c r="B2" s="20" t="s">
        <v>140</v>
      </c>
      <c r="C2" s="20" t="s">
        <v>11</v>
      </c>
      <c r="D2" s="20" t="s">
        <v>144</v>
      </c>
      <c r="E2" s="20" t="s">
        <v>12</v>
      </c>
      <c r="F2" s="25" t="s">
        <v>148</v>
      </c>
      <c r="G2" s="20">
        <v>30</v>
      </c>
      <c r="H2" s="20" t="s">
        <v>13</v>
      </c>
      <c r="I2" s="20" t="s">
        <v>14</v>
      </c>
      <c r="J2" s="20" t="s">
        <v>13</v>
      </c>
      <c r="K2" s="21"/>
    </row>
    <row r="3" spans="1:11">
      <c r="A3" s="19" t="s">
        <v>15</v>
      </c>
      <c r="B3" s="20" t="s">
        <v>141</v>
      </c>
      <c r="C3" s="20" t="s">
        <v>16</v>
      </c>
      <c r="D3" s="20" t="s">
        <v>145</v>
      </c>
      <c r="E3" s="20" t="s">
        <v>17</v>
      </c>
      <c r="F3" s="26" t="s">
        <v>149</v>
      </c>
      <c r="G3" s="20">
        <v>45</v>
      </c>
      <c r="H3" s="20" t="s">
        <v>13</v>
      </c>
      <c r="I3" s="20" t="s">
        <v>18</v>
      </c>
      <c r="J3" s="20" t="s">
        <v>13</v>
      </c>
      <c r="K3" s="21"/>
    </row>
    <row r="4" spans="1:11">
      <c r="A4" s="19" t="s">
        <v>19</v>
      </c>
      <c r="B4" s="20" t="s">
        <v>142</v>
      </c>
      <c r="C4" s="20" t="s">
        <v>20</v>
      </c>
      <c r="D4" s="20" t="s">
        <v>146</v>
      </c>
      <c r="E4" s="20" t="s">
        <v>21</v>
      </c>
      <c r="F4" s="25" t="s">
        <v>150</v>
      </c>
      <c r="G4" s="20">
        <v>30</v>
      </c>
      <c r="H4" s="20" t="s">
        <v>13</v>
      </c>
      <c r="I4" s="20" t="s">
        <v>22</v>
      </c>
      <c r="J4" s="20" t="s">
        <v>13</v>
      </c>
      <c r="K4" s="21"/>
    </row>
    <row r="5" spans="1:11">
      <c r="A5" s="19" t="s">
        <v>23</v>
      </c>
      <c r="B5" s="20" t="s">
        <v>143</v>
      </c>
      <c r="C5" s="20" t="s">
        <v>24</v>
      </c>
      <c r="D5" s="20" t="s">
        <v>147</v>
      </c>
      <c r="E5" s="20" t="s">
        <v>25</v>
      </c>
      <c r="F5" s="25" t="s">
        <v>151</v>
      </c>
      <c r="G5" s="20">
        <v>15</v>
      </c>
      <c r="H5" s="20" t="s">
        <v>26</v>
      </c>
      <c r="I5" s="20" t="s">
        <v>27</v>
      </c>
      <c r="J5" s="20" t="s">
        <v>13</v>
      </c>
      <c r="K5" s="21"/>
    </row>
    <row r="6" spans="1:11">
      <c r="A6" t="s">
        <v>195</v>
      </c>
      <c r="B6" t="s">
        <v>198</v>
      </c>
      <c r="C6" t="s">
        <v>199</v>
      </c>
      <c r="D6" t="s">
        <v>200</v>
      </c>
      <c r="E6" t="s">
        <v>201</v>
      </c>
      <c r="F6" s="74" t="s">
        <v>202</v>
      </c>
      <c r="G6">
        <v>30</v>
      </c>
      <c r="H6" t="s">
        <v>26</v>
      </c>
      <c r="I6" s="20" t="s">
        <v>203</v>
      </c>
      <c r="J6" t="s">
        <v>13</v>
      </c>
    </row>
    <row r="7" spans="1:11">
      <c r="F7" s="27"/>
    </row>
    <row r="8" spans="1:11">
      <c r="F8" s="27"/>
    </row>
    <row r="9" spans="1:11">
      <c r="F9" s="27"/>
    </row>
    <row r="10" spans="1:11">
      <c r="F10" s="27"/>
    </row>
    <row r="11" spans="1:11">
      <c r="F11" s="27"/>
    </row>
    <row r="12" spans="1:11">
      <c r="F12" s="27"/>
    </row>
  </sheetData>
  <dataValidations count="3">
    <dataValidation type="list" allowBlank="1" showInputMessage="1" showErrorMessage="1" sqref="H2:H1048568" xr:uid="{049AF3A9-00F3-4E0D-8617-468A246AA3C7}">
      <formula1>"Yes, No"</formula1>
    </dataValidation>
    <dataValidation type="list" allowBlank="1" showInputMessage="1" showErrorMessage="1" sqref="J1:J1048568" xr:uid="{DCC2DC8D-6D64-4C70-9FFA-FFFE09C1CFA4}">
      <formula1>"No, Yes"</formula1>
    </dataValidation>
    <dataValidation type="list" allowBlank="1" showInputMessage="1" showErrorMessage="1" sqref="G2:G1048576" xr:uid="{862F4E97-7995-4E5F-B274-F58E9DFB62A4}">
      <formula1>"0, 15, 30, 45"</formula1>
    </dataValidation>
  </dataValidations>
  <hyperlinks>
    <hyperlink ref="F2" r:id="rId1" xr:uid="{D63C904D-4402-46F6-97D7-5463789B5ABD}"/>
    <hyperlink ref="F3" r:id="rId2" xr:uid="{31C822E5-CD2A-44E2-86AE-ED0D4193DBE6}"/>
    <hyperlink ref="F4" r:id="rId3" xr:uid="{86B3159B-F6E7-4A7A-9312-927B246D97F0}"/>
    <hyperlink ref="F5" r:id="rId4" xr:uid="{2779A20A-A18F-4A34-88C3-B46855CC8CAF}"/>
    <hyperlink ref="F6" r:id="rId5" xr:uid="{05C24F70-3ED0-4D7D-BD7C-B9A4D9595F22}"/>
  </hyperlinks>
  <pageMargins left="0.7" right="0.7" top="0.75" bottom="0.75" header="0.3" footer="0.3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E8E1-5FEE-4D21-9553-CCEECF93FF2F}">
  <dimension ref="A1:H34"/>
  <sheetViews>
    <sheetView workbookViewId="0">
      <selection sqref="A1:H2"/>
    </sheetView>
  </sheetViews>
  <sheetFormatPr defaultRowHeight="14.4"/>
  <cols>
    <col min="1" max="16" width="15.5546875" customWidth="1"/>
  </cols>
  <sheetData>
    <row r="1" spans="1:8">
      <c r="A1" s="110" t="s">
        <v>126</v>
      </c>
      <c r="B1" s="110"/>
      <c r="C1" s="110"/>
      <c r="D1" s="110"/>
      <c r="E1" s="110"/>
      <c r="F1" s="110"/>
      <c r="G1" s="110"/>
      <c r="H1" s="110"/>
    </row>
    <row r="2" spans="1:8">
      <c r="A2" s="110"/>
      <c r="B2" s="110"/>
      <c r="C2" s="110"/>
      <c r="D2" s="110"/>
      <c r="E2" s="110"/>
      <c r="F2" s="110"/>
      <c r="G2" s="110"/>
      <c r="H2" s="110"/>
    </row>
    <row r="3" spans="1:8">
      <c r="A3" s="111" t="s">
        <v>36</v>
      </c>
      <c r="B3" s="111"/>
      <c r="C3" s="111"/>
      <c r="D3" s="111"/>
      <c r="E3" s="5"/>
      <c r="F3" s="5"/>
      <c r="G3" s="5"/>
      <c r="H3" s="5"/>
    </row>
    <row r="4" spans="1:8">
      <c r="A4" s="112" t="s">
        <v>127</v>
      </c>
      <c r="B4" s="112"/>
      <c r="C4" s="112"/>
      <c r="D4" s="112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6" t="s">
        <v>58</v>
      </c>
      <c r="B6" s="39" t="s">
        <v>73</v>
      </c>
      <c r="C6" s="28"/>
      <c r="D6" s="29"/>
      <c r="E6" s="6" t="s">
        <v>59</v>
      </c>
      <c r="F6" s="38">
        <f>IF(B6="","",_xlfn.XLOOKUP(B6,Invoices!A:A,Invoices!B:B))</f>
        <v>46130</v>
      </c>
      <c r="G6" s="30"/>
      <c r="H6" s="31"/>
    </row>
    <row r="7" spans="1:8">
      <c r="A7" s="5"/>
      <c r="B7" s="5"/>
      <c r="C7" s="5"/>
      <c r="D7" s="5"/>
      <c r="E7" s="5"/>
      <c r="F7" s="32"/>
      <c r="G7" s="5"/>
      <c r="H7" s="5"/>
    </row>
    <row r="8" spans="1:8">
      <c r="A8" s="6" t="s">
        <v>1</v>
      </c>
      <c r="B8" s="113" t="str">
        <f>IF(B6="","",_xlfn.XLOOKUP(B6,Invoices!A:A,Invoices!E:E))</f>
        <v>U Packaging Inc</v>
      </c>
      <c r="C8" s="114"/>
      <c r="D8" s="115"/>
      <c r="E8" s="6" t="s">
        <v>0</v>
      </c>
      <c r="F8" s="33" t="str">
        <f>IF(B6="","",_xlfn.XLOOKUP(B6,Invoices!A:A,Invoices!F:F))</f>
        <v>V003</v>
      </c>
      <c r="G8" s="34"/>
      <c r="H8" s="35"/>
    </row>
    <row r="9" spans="1:8">
      <c r="A9" s="5"/>
      <c r="B9" s="36"/>
      <c r="C9" s="36"/>
      <c r="D9" s="36"/>
      <c r="E9" s="5"/>
      <c r="F9" s="36"/>
      <c r="G9" s="37"/>
      <c r="H9" s="37"/>
    </row>
    <row r="10" spans="1:8">
      <c r="A10" s="6" t="s">
        <v>28</v>
      </c>
      <c r="B10" s="33" t="str">
        <f>IF(B6="","",_xlfn.XLOOKUP(B6,Invoices!A:A,Invoices!C:C))</f>
        <v>PO-2026-1007</v>
      </c>
      <c r="C10" s="40"/>
      <c r="D10" s="41"/>
      <c r="E10" s="6" t="s">
        <v>154</v>
      </c>
      <c r="F10" s="33">
        <f>IF(B6="","",_xlfn.XLOOKUP(B6,Invoices!A:A,Invoices!G:G))</f>
        <v>30</v>
      </c>
      <c r="G10" s="34"/>
      <c r="H10" s="35"/>
    </row>
    <row r="11" spans="1:8">
      <c r="A11" s="5"/>
      <c r="B11" s="36"/>
      <c r="C11" s="36"/>
      <c r="D11" s="36"/>
      <c r="E11" s="5"/>
      <c r="F11" s="36"/>
      <c r="G11" s="37"/>
      <c r="H11" s="37"/>
    </row>
    <row r="12" spans="1:8">
      <c r="A12" s="6" t="s">
        <v>60</v>
      </c>
      <c r="B12" s="38">
        <f>IF(B6="","",_xlfn.XLOOKUP(B6,Invoices!A:A,Invoices!H:H))</f>
        <v>46160</v>
      </c>
      <c r="C12" s="42"/>
      <c r="D12" s="43"/>
      <c r="E12" s="6" t="s">
        <v>66</v>
      </c>
      <c r="F12" s="33" t="str">
        <f>IF(B6="","",_xlfn.XLOOKUP(B6,Invoices!A:A,Invoices!N:N))</f>
        <v>Jordan Lee</v>
      </c>
      <c r="G12" s="34"/>
      <c r="H12" s="3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10" t="s">
        <v>128</v>
      </c>
      <c r="B15" s="10" t="s">
        <v>31</v>
      </c>
      <c r="C15" s="10" t="s">
        <v>129</v>
      </c>
      <c r="D15" s="10" t="s">
        <v>130</v>
      </c>
      <c r="E15" s="10" t="s">
        <v>131</v>
      </c>
      <c r="F15" s="10" t="s">
        <v>132</v>
      </c>
      <c r="G15" s="10" t="s">
        <v>133</v>
      </c>
      <c r="H15" s="10" t="s">
        <v>9</v>
      </c>
    </row>
    <row r="16" spans="1:8">
      <c r="A16" s="5">
        <v>1</v>
      </c>
      <c r="B16" s="7"/>
      <c r="C16" s="11"/>
      <c r="D16" s="12"/>
      <c r="E16" s="12">
        <f>IF(OR(C16="",D16=""),0,C16*D16)</f>
        <v>0</v>
      </c>
      <c r="F16" s="8"/>
      <c r="G16" s="8"/>
      <c r="H16" s="9"/>
    </row>
    <row r="17" spans="1:8">
      <c r="A17" s="5">
        <v>2</v>
      </c>
      <c r="B17" s="7"/>
      <c r="C17" s="11"/>
      <c r="D17" s="12"/>
      <c r="E17" s="12">
        <f t="shared" ref="E17:E21" si="0">IF(OR(C17="",D17=""),0,C17*D17)</f>
        <v>0</v>
      </c>
      <c r="F17" s="8"/>
      <c r="G17" s="8"/>
      <c r="H17" s="9"/>
    </row>
    <row r="18" spans="1:8">
      <c r="A18" s="5">
        <v>3</v>
      </c>
      <c r="B18" s="7"/>
      <c r="C18" s="11"/>
      <c r="D18" s="12"/>
      <c r="E18" s="12">
        <f t="shared" si="0"/>
        <v>0</v>
      </c>
      <c r="F18" s="8"/>
      <c r="G18" s="8"/>
      <c r="H18" s="9"/>
    </row>
    <row r="19" spans="1:8">
      <c r="A19" s="5">
        <v>4</v>
      </c>
      <c r="B19" s="7"/>
      <c r="C19" s="11"/>
      <c r="D19" s="12"/>
      <c r="E19" s="12">
        <f t="shared" si="0"/>
        <v>0</v>
      </c>
      <c r="F19" s="8"/>
      <c r="G19" s="8"/>
      <c r="H19" s="9"/>
    </row>
    <row r="20" spans="1:8">
      <c r="A20" s="5">
        <v>5</v>
      </c>
      <c r="B20" s="7"/>
      <c r="C20" s="11"/>
      <c r="D20" s="12"/>
      <c r="E20" s="12">
        <f t="shared" si="0"/>
        <v>0</v>
      </c>
      <c r="F20" s="8"/>
      <c r="G20" s="8"/>
      <c r="H20" s="9"/>
    </row>
    <row r="21" spans="1:8">
      <c r="A21" s="5">
        <v>6</v>
      </c>
      <c r="B21" s="7"/>
      <c r="C21" s="11"/>
      <c r="D21" s="12"/>
      <c r="E21" s="12">
        <f t="shared" si="0"/>
        <v>0</v>
      </c>
      <c r="F21" s="8"/>
      <c r="G21" s="8"/>
      <c r="H21" s="9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>
      <c r="A24" s="116" t="s">
        <v>134</v>
      </c>
      <c r="B24" s="116"/>
      <c r="C24" s="116"/>
      <c r="D24" s="116"/>
      <c r="E24" s="116"/>
      <c r="F24" s="6" t="s">
        <v>135</v>
      </c>
      <c r="G24" s="13">
        <f>SUM(E16:E21)</f>
        <v>0</v>
      </c>
      <c r="H24" s="14"/>
    </row>
    <row r="25" spans="1:8">
      <c r="A25" s="116"/>
      <c r="B25" s="116"/>
      <c r="C25" s="116"/>
      <c r="D25" s="116"/>
      <c r="E25" s="116"/>
      <c r="F25" s="6" t="s">
        <v>136</v>
      </c>
      <c r="G25" s="44">
        <v>0</v>
      </c>
      <c r="H25" s="16"/>
    </row>
    <row r="26" spans="1:8">
      <c r="A26" s="116"/>
      <c r="B26" s="116"/>
      <c r="C26" s="116"/>
      <c r="D26" s="116"/>
      <c r="E26" s="116"/>
      <c r="F26" s="6" t="s">
        <v>137</v>
      </c>
      <c r="G26" s="15">
        <f>SUMIF(F16:F21,"Yes",E16:E21)*G25</f>
        <v>0</v>
      </c>
      <c r="H26" s="16"/>
    </row>
    <row r="27" spans="1:8">
      <c r="A27" s="116"/>
      <c r="B27" s="116"/>
      <c r="C27" s="116"/>
      <c r="D27" s="116"/>
      <c r="E27" s="116"/>
      <c r="F27" s="6" t="s">
        <v>138</v>
      </c>
      <c r="G27" s="17">
        <f>G24+G26</f>
        <v>0</v>
      </c>
      <c r="H27" s="18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</sheetData>
  <mergeCells count="5">
    <mergeCell ref="A1:H2"/>
    <mergeCell ref="A3:D3"/>
    <mergeCell ref="A4:D4"/>
    <mergeCell ref="B8:D8"/>
    <mergeCell ref="A24:E27"/>
  </mergeCells>
  <dataValidations count="2">
    <dataValidation type="list" sqref="F16:F21" xr:uid="{52254801-0527-43E8-8B39-713E1057468E}">
      <formula1>"Yes,No"</formula1>
    </dataValidation>
    <dataValidation type="list" allowBlank="1" showInputMessage="1" showErrorMessage="1" sqref="B6" xr:uid="{A100AE76-155D-433C-9465-5CA0E7B0CADA}">
      <formula1>INVOICENUMBER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2E6A9-FC31-45D8-AFA0-5B77F70C48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Instructions</vt:lpstr>
      <vt:lpstr>Dashboard</vt:lpstr>
      <vt:lpstr>Purchase Orders</vt:lpstr>
      <vt:lpstr>Invoices</vt:lpstr>
      <vt:lpstr>Payments</vt:lpstr>
      <vt:lpstr>Vendors</vt:lpstr>
      <vt:lpstr>Customer Invoice</vt:lpstr>
      <vt:lpstr>INVOICENUMBER</vt:lpstr>
      <vt:lpstr>PONUMBER</vt:lpstr>
      <vt:lpstr>POVENDORNAME</vt:lpstr>
      <vt:lpstr>VendorName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Muller</dc:creator>
  <cp:lastModifiedBy>Laurie Muller</cp:lastModifiedBy>
  <cp:lastPrinted>2026-07-27T12:52:26Z</cp:lastPrinted>
  <dcterms:created xsi:type="dcterms:W3CDTF">2026-07-26T01:40:01Z</dcterms:created>
  <dcterms:modified xsi:type="dcterms:W3CDTF">2026-07-27T18:45:05Z</dcterms:modified>
</cp:coreProperties>
</file>